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lg365-my.sharepoint.com/personal/a45278_ualg_pt/Documents/Documentos/DOUTORAMENTO/Tese/base_dados/"/>
    </mc:Choice>
  </mc:AlternateContent>
  <xr:revisionPtr revIDLastSave="996" documentId="13_ncr:1_{06873274-2EFB-4991-9D04-D6B640FD71CC}" xr6:coauthVersionLast="47" xr6:coauthVersionMax="47" xr10:uidLastSave="{0215B30C-4DC3-41C3-90B6-2E768C8ECF74}"/>
  <bookViews>
    <workbookView xWindow="-108" yWindow="-108" windowWidth="23256" windowHeight="12456" tabRatio="610" xr2:uid="{DCC907A4-C0E7-436E-8917-C6338495D0B0}"/>
  </bookViews>
  <sheets>
    <sheet name="tabela_geral" sheetId="1" r:id="rId1"/>
    <sheet name="Lista das C.Ambientais" sheetId="10" r:id="rId2"/>
    <sheet name="Grafico_datacao" sheetId="9" r:id="rId3"/>
    <sheet name="Nº_Ocupacoes" sheetId="6" r:id="rId4"/>
    <sheet name="Tipo_Sitio" sheetId="4" r:id="rId5"/>
    <sheet name="altitude_cronologia" sheetId="12" r:id="rId6"/>
    <sheet name="Contagem_sitios_alt" sheetId="16" r:id="rId7"/>
    <sheet name="dataçao_altitude" sheetId="15" r:id="rId8"/>
  </sheets>
  <definedNames>
    <definedName name="_xlnm._FilterDatabase" localSheetId="0" hidden="1">tabela_geral!$A$1:$N$195</definedName>
  </definedNames>
  <calcPr calcId="191029" calcOnSave="0"/>
  <pivotCaches>
    <pivotCache cacheId="0" r:id="rId9"/>
    <pivotCache cacheId="1" r:id="rId10"/>
    <pivotCache cacheId="2" r:id="rId11"/>
    <pivotCache cacheId="3" r:id="rId12"/>
    <pivotCache cacheId="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<sst xmlns="http://schemas.openxmlformats.org/spreadsheetml/2006/main" count="3656" uniqueCount="925">
  <si>
    <t xml:space="preserve"> Sitio</t>
  </si>
  <si>
    <t>Tipo</t>
  </si>
  <si>
    <t>Latitude</t>
  </si>
  <si>
    <t>Longitude</t>
  </si>
  <si>
    <t>Bibliografia</t>
  </si>
  <si>
    <t>Abrigo</t>
  </si>
  <si>
    <t>Moustierense</t>
  </si>
  <si>
    <t>sim</t>
  </si>
  <si>
    <t>Cascalheira et al. 2021; Portal do Arqueologo, 2021; Pereira et al.2012</t>
  </si>
  <si>
    <t>Azinhal</t>
  </si>
  <si>
    <t xml:space="preserve"> L3</t>
  </si>
  <si>
    <t>quartzito</t>
  </si>
  <si>
    <t>não</t>
  </si>
  <si>
    <t>Cascalheira et al. 2021;Vermeersh, 2020; Almeida et al., 2008</t>
  </si>
  <si>
    <t>Arneiro Cortico</t>
  </si>
  <si>
    <t>Ar livre</t>
  </si>
  <si>
    <t>Cascalheira et al. 2021;Portal do Arqueologo,2021; Cardoso, 2006</t>
  </si>
  <si>
    <t>Baio</t>
  </si>
  <si>
    <t>superficie</t>
  </si>
  <si>
    <t>Solutrense</t>
  </si>
  <si>
    <t>Cascalheira e Bicho. 2018; Portal do Arqueologo, 2021; Zilhao, 1997</t>
  </si>
  <si>
    <t>Cascalheira et al. 2021</t>
  </si>
  <si>
    <t>Buraca Escura</t>
  </si>
  <si>
    <t xml:space="preserve">Gruta </t>
  </si>
  <si>
    <t>Gravetense</t>
  </si>
  <si>
    <t>quartzo</t>
  </si>
  <si>
    <t>Schmidt et al.2012; Cascalheira et al. 2021;Portal do Arqueologo, 2021; Pereira et al., 2012; Aubry et al,2003</t>
  </si>
  <si>
    <t>vestigio de fogueira (Nivel Arqueologico 6)</t>
  </si>
  <si>
    <t>Buraca Grande</t>
  </si>
  <si>
    <t>Schmidt et al.2012; Cascalheira et al. 2021; Vermeersh. 2021</t>
  </si>
  <si>
    <t>Schmidt et al.2012; Cascalheira et al. 2021;Vermeersh.2021; Aubry e Moura, 1995</t>
  </si>
  <si>
    <t>Casal do Cepo</t>
  </si>
  <si>
    <t>L/10-11; O-P/17-18</t>
  </si>
  <si>
    <t>Cascalheira et al. 2018;Portal do Arqueologo, 2021; Zilhao, 1997</t>
  </si>
  <si>
    <t>Chainca</t>
  </si>
  <si>
    <t>Aurinhacense</t>
  </si>
  <si>
    <t>Cascalheira et al. 2018; Portal do Arqueologo,2021; Thacker, 2001</t>
  </si>
  <si>
    <t>Cobrinhos</t>
  </si>
  <si>
    <t>Cascalheira et al. 2021, Pereira et al. 2019</t>
  </si>
  <si>
    <t>Conceicao</t>
  </si>
  <si>
    <t>Cascalheira et al. 2021; Vermeesh.2020; Raposo e Cardoso, 1998</t>
  </si>
  <si>
    <t>CPM (Cabeco de Porto Marinho)</t>
  </si>
  <si>
    <t>Cascalheira et al. 2018; Portal do Arqueologo,2021; Zilhao,1997</t>
  </si>
  <si>
    <t>Almonda</t>
  </si>
  <si>
    <t>Cascalheira e Bicho. 2018;Portal do Arqueologo,2021; Zilhao, 1997</t>
  </si>
  <si>
    <t>Cova da Moura</t>
  </si>
  <si>
    <t>Curva do Belixe</t>
  </si>
  <si>
    <t>silex</t>
  </si>
  <si>
    <t>Zilhao, 1997</t>
  </si>
  <si>
    <t>Estrada do Prado</t>
  </si>
  <si>
    <t xml:space="preserve">Figueira Brava </t>
  </si>
  <si>
    <t>Fonte Santa</t>
  </si>
  <si>
    <t>H-Q/22-29</t>
  </si>
  <si>
    <t>Cascalheira et al. 2018; Zilhao, 1997</t>
  </si>
  <si>
    <t>Foz do Enxarrique</t>
  </si>
  <si>
    <t>Ar Livre</t>
  </si>
  <si>
    <t>Furninha</t>
  </si>
  <si>
    <t>Cascalheira et al. 2021; Portal do Arqueologo, 2021</t>
  </si>
  <si>
    <t>Cascalheira et al. 2021;Portal do Arqueologo,2021; Cardoso e Bicho, 2010</t>
  </si>
  <si>
    <t>Galerias Pesadas</t>
  </si>
  <si>
    <t>Gato Preto</t>
  </si>
  <si>
    <t>Nivel 1b, Deposito inferior</t>
  </si>
  <si>
    <t>Schmidt et al. 2012;Portal do Arqueologo, 2021; Zilhao, 1997</t>
  </si>
  <si>
    <t>Gruta da Companheira</t>
  </si>
  <si>
    <t>cascalheira et al. 2021; Portal do Arqueologo, 2021</t>
  </si>
  <si>
    <t>Gruta da Oliveira</t>
  </si>
  <si>
    <t>Schmidt et al. 2012; Cascalheira et al. 2021;Portal do Arqueologo,2021; Marks et al, 2001</t>
  </si>
  <si>
    <t>Gruta Nova da Columbeira</t>
  </si>
  <si>
    <t>Nivel 4-9</t>
  </si>
  <si>
    <t>Schmidt et al.2012;Portal do Arqueologo,2021; Raposo e Cardoso, 1998</t>
  </si>
  <si>
    <t xml:space="preserve"> Gruta da Casa da Moura</t>
  </si>
  <si>
    <t>Gruta das Salemas</t>
  </si>
  <si>
    <t>Nivel IV</t>
  </si>
  <si>
    <t>Nivel III</t>
  </si>
  <si>
    <t>Gruta de Ibn Ammar</t>
  </si>
  <si>
    <t>sifao</t>
  </si>
  <si>
    <t>Gruta do Caldeirao</t>
  </si>
  <si>
    <t>Schmidt et al. 2012; Cascalheira et al. 2021; Zilhao, 1997</t>
  </si>
  <si>
    <t>Schmidt et al. 2012; Cascalheira et al. 2021;Zilhao, 1997</t>
  </si>
  <si>
    <t>Gruta do Correio Mor</t>
  </si>
  <si>
    <t>Nivel II e III</t>
  </si>
  <si>
    <t>Gruta do Escoural</t>
  </si>
  <si>
    <t>Schmidt et al. 2012; Cascalheira et al. 2021;Portal do Arqueologo, 2021; Zilhao, 1997</t>
  </si>
  <si>
    <t>Gruta do Ourao</t>
  </si>
  <si>
    <t>Superficie (seccao 4 e 5)</t>
  </si>
  <si>
    <t>Schmidt et al. 2012, cascalheira et al. 2018; Cascalheira et al. 2021; Portal do Arqueologo, 2021;Zilhao, 1997</t>
  </si>
  <si>
    <t>Grutas do Poco Velho</t>
  </si>
  <si>
    <t>Schmidt et al. 2012; Portal do Arqueologo, 2021; Zilhao, 1997</t>
  </si>
  <si>
    <t>Do material solutrense faziam parte apenas duas peças (folha de loureiro e ponta de pendunculo)</t>
  </si>
  <si>
    <t>Lagar velho</t>
  </si>
  <si>
    <t>Schmidt et al. 2012; Cascalheira e Bicho, 2018; Zilhao e Trinkaus, 2002</t>
  </si>
  <si>
    <t>TP09</t>
  </si>
  <si>
    <t>Schmidt et al. 2012; Cascalheira et al. 2018; Zilhao e Trinkaus, 2002</t>
  </si>
  <si>
    <t>Lagoa do Bando</t>
  </si>
  <si>
    <t xml:space="preserve">Lagoa Funda 1 </t>
  </si>
  <si>
    <t>Lagoa Funda 2</t>
  </si>
  <si>
    <t>Lagoa do Bordoal</t>
  </si>
  <si>
    <t>Lapa da Rainha</t>
  </si>
  <si>
    <t>Cascalheira et al. 2018; portal do Arqueologo,2021; Zilhao,1997</t>
  </si>
  <si>
    <t>Lapa do Anecrial</t>
  </si>
  <si>
    <t>Schmidt et al. 2012;Portal do Arqueologo, 2021</t>
  </si>
  <si>
    <t>Lapa do Picareiro</t>
  </si>
  <si>
    <t>Lapa do Suao</t>
  </si>
  <si>
    <t>Nivel 8-9</t>
  </si>
  <si>
    <t>Lapa dos Furos</t>
  </si>
  <si>
    <t>Schmidt et al. 2012;Cascalheira et al. 2021;Portal do Arqueologo, 2021; Cardoso, 2006</t>
  </si>
  <si>
    <t>Mira Nascente</t>
  </si>
  <si>
    <t>Pego do Diabo</t>
  </si>
  <si>
    <t>Schmidt et al. 2012; Cascalheira et al. 2021;Portal do Arqueologo, 2021;Zilhao, 1997</t>
  </si>
  <si>
    <t>Praia da Gale</t>
  </si>
  <si>
    <t>Cascalheira et al. 2021;Portal do Arqueologo, 2021</t>
  </si>
  <si>
    <t>Praia Rei Cortico</t>
  </si>
  <si>
    <t>Portal do Arqueologo, 2021</t>
  </si>
  <si>
    <t>Segundo o Portal do Arqueologo este sítio tem peças em carvão</t>
  </si>
  <si>
    <t>Ribeira da Atalaia</t>
  </si>
  <si>
    <t>Cascalheira et al., 2021; Portal do Arqueologo, 2021; Oosterbeek et al. 2020</t>
  </si>
  <si>
    <t>Cascalheira et al. 2021; Portal do Arqueologo, 2021; Oosterbeek et al. 2020</t>
  </si>
  <si>
    <t>Terra do Jose Pereira</t>
  </si>
  <si>
    <t xml:space="preserve">Terra do Manuel </t>
  </si>
  <si>
    <t>Vale Boi</t>
  </si>
  <si>
    <t>Vale Comprido - Barraca</t>
  </si>
  <si>
    <t>Cascalheira et al. 2018; portal do Arqueologo,2021;Zilhao, 1997</t>
  </si>
  <si>
    <t>Vale Comprido - Cruzamento</t>
  </si>
  <si>
    <t>Vale Comprido - Encosta</t>
  </si>
  <si>
    <t>Vale da Almoinha</t>
  </si>
  <si>
    <t>Nivel I-II</t>
  </si>
  <si>
    <t>Vale das Buracas</t>
  </si>
  <si>
    <t>Vale dos Porcos I</t>
  </si>
  <si>
    <t>Portal do Arqueologo, 2021; Zilhao, 1997</t>
  </si>
  <si>
    <t>Vales da Senhora da Luz</t>
  </si>
  <si>
    <t>cascalheira et al. 2018; portal do Arqueologo,2021; Zilhao,1997</t>
  </si>
  <si>
    <t>Vascas</t>
  </si>
  <si>
    <t>Cascalheira et al. 2018; Portal do Arqueologo, 2021; Zilhao, 1997</t>
  </si>
  <si>
    <t>Vilas ruivas</t>
  </si>
  <si>
    <t>Portal do Arqueologo, 2021; Raposo, 1995</t>
  </si>
  <si>
    <t>Mina do Paco</t>
  </si>
  <si>
    <t>Cascalheira et al. 2021; Burke et al, 2011</t>
  </si>
  <si>
    <t>Moinhos 1</t>
  </si>
  <si>
    <t>Moinhos 2</t>
  </si>
  <si>
    <t>Monte Penedo 1</t>
  </si>
  <si>
    <t>Pedrogao</t>
  </si>
  <si>
    <t>Cascalheira et al. 2021; Portal do Arqueologo, 2021; Pereira et al, 2012</t>
  </si>
  <si>
    <t>Olival da Carneira</t>
  </si>
  <si>
    <t>Passal</t>
  </si>
  <si>
    <t>Porto Meirinho</t>
  </si>
  <si>
    <t>Vale dos Porcos II</t>
  </si>
  <si>
    <t>Santa Cita</t>
  </si>
  <si>
    <t>Santo Antao do Tojal</t>
  </si>
  <si>
    <t>Sapateiros 2</t>
  </si>
  <si>
    <t>Gasparoes</t>
  </si>
  <si>
    <t>Vale da Porta</t>
  </si>
  <si>
    <t>Vale do Forno 8</t>
  </si>
  <si>
    <t>Vale Santo</t>
  </si>
  <si>
    <t>Chacafre II</t>
  </si>
  <si>
    <t>Cascalheira et al.2021; Portal do Arqueologo, 2021; Pedergnana et al. 2011</t>
  </si>
  <si>
    <t>Cascalheira et al. 2021; Portal do Arqueologo, 2021, Raposo, 1995</t>
  </si>
  <si>
    <t>Cascalheira et al, 2021; Portal do Arqueologo, 2021, Cunha Ribeiro e Cura, 2013</t>
  </si>
  <si>
    <t>sondagem diagnostico</t>
  </si>
  <si>
    <t>Cascalheira et al, 2021; Burke et al., 2011; Vermeech, 2020</t>
  </si>
  <si>
    <t>Cascalheira et al. 2021; Portal do Arqueologo, 2021; Burke et al. 2011</t>
  </si>
  <si>
    <t>Cascalheira et al, 2021; Portal do Arqueologo, 2021, Almeida et al, 2011</t>
  </si>
  <si>
    <t>Cascalheira et al, 2021; Portal do Arqueologo, 2021; Pereira et al, 2012</t>
  </si>
  <si>
    <t>Cascalheira et al, 2021; Portal do Arqueologo, 2021; Raposo, 1995</t>
  </si>
  <si>
    <t>Abrigo del Capurri</t>
  </si>
  <si>
    <t>Schmidt et al. 2012; Cascalheira e Bicho, 2015</t>
  </si>
  <si>
    <t>R1</t>
  </si>
  <si>
    <t>C9b</t>
  </si>
  <si>
    <t xml:space="preserve"> 1; 2</t>
  </si>
  <si>
    <t>C;D</t>
  </si>
  <si>
    <t>CPM IIID/F; CPM II</t>
  </si>
  <si>
    <t>2;7</t>
  </si>
  <si>
    <t>T4; T5;T6</t>
  </si>
  <si>
    <t>9;10</t>
  </si>
  <si>
    <t>C; E9; A4; A6-Z4; B4</t>
  </si>
  <si>
    <t>8;  9; 11</t>
  </si>
  <si>
    <t>4; 5</t>
  </si>
  <si>
    <t>1;2</t>
  </si>
  <si>
    <t>3;4</t>
  </si>
  <si>
    <t>PC2b; PC4;PC5b; PC5c</t>
  </si>
  <si>
    <t xml:space="preserve"> B; C</t>
  </si>
  <si>
    <t xml:space="preserve"> Q4</t>
  </si>
  <si>
    <t>Q3</t>
  </si>
  <si>
    <t xml:space="preserve">3; 4 </t>
  </si>
  <si>
    <t>3; 5</t>
  </si>
  <si>
    <t>C1 (rockshelter); 3 (slope); 4 (terrace)</t>
  </si>
  <si>
    <t xml:space="preserve"> 2 (slope); A (base, rockshelter); B6 (rockshelter)</t>
  </si>
  <si>
    <t>A-F</t>
  </si>
  <si>
    <t xml:space="preserve"> 2-3</t>
  </si>
  <si>
    <t>Bolomor</t>
  </si>
  <si>
    <t>Cochino</t>
  </si>
  <si>
    <t>II-III</t>
  </si>
  <si>
    <t>Complejo del Humo - Abrigo 4</t>
  </si>
  <si>
    <t>II</t>
  </si>
  <si>
    <t>Schmidt et al. 2012; Vermeesch, 2020; Fernandez et al. 1998</t>
  </si>
  <si>
    <t>Cova Ampla del Cap Gros</t>
  </si>
  <si>
    <t>Cova de les Cendres</t>
  </si>
  <si>
    <t xml:space="preserve"> XIV; XVIA; XVIC</t>
  </si>
  <si>
    <t>Schmidt et al. 2012; Vermeesch. 2020; Villaverde e Roman, 2004</t>
  </si>
  <si>
    <t>Cova de les Maravelles</t>
  </si>
  <si>
    <t>Cova del Llop</t>
  </si>
  <si>
    <t>Schmidt et al.2012; Vermeesch, 202;  Aparicio Perez et al. 1976</t>
  </si>
  <si>
    <t>Cova del Moro</t>
  </si>
  <si>
    <t>sector 2</t>
  </si>
  <si>
    <t>Cova Negra</t>
  </si>
  <si>
    <t>Nivel A-E</t>
  </si>
  <si>
    <t>Cova Vermelha</t>
  </si>
  <si>
    <t>Cova dels Porcs</t>
  </si>
  <si>
    <t>Schmidt et al. 2012; Vermeesch, 2020; Bonilla, 1984</t>
  </si>
  <si>
    <t>Cueva Ambrosio</t>
  </si>
  <si>
    <t xml:space="preserve"> II; IV; VI</t>
  </si>
  <si>
    <t>Schmidt et al. 2012; Vermeesch. 2020; Cascalheira, 2013</t>
  </si>
  <si>
    <t>Cova Perneras</t>
  </si>
  <si>
    <t xml:space="preserve">Cova Perneras </t>
  </si>
  <si>
    <t>Cueva Beneito</t>
  </si>
  <si>
    <t>Schmidt et al. 2012; Zilhao, 2006; Iturbe et al. 1993</t>
  </si>
  <si>
    <t>Schmidt et al. 2012; Domenech Faus et al. 2012; Iturbe et al. 1993</t>
  </si>
  <si>
    <t>Schmidt at al. 2012; Domenech Faus et al. 2012; Iturbe et al. 1993</t>
  </si>
  <si>
    <t>Cueva Boquete de Zafarraya</t>
  </si>
  <si>
    <t>Presença de ossos humanos</t>
  </si>
  <si>
    <t>Cueva de Barranc Blanc</t>
  </si>
  <si>
    <t>7;8;9</t>
  </si>
  <si>
    <t>6;7</t>
  </si>
  <si>
    <t>Cueva de Cejo del Pantano</t>
  </si>
  <si>
    <t>Cueva de la Cariguela</t>
  </si>
  <si>
    <t>Cueva de les Mallaetes</t>
  </si>
  <si>
    <t>Cueva de los Aviones</t>
  </si>
  <si>
    <t>Cueva de los Morceguillos</t>
  </si>
  <si>
    <t>Cueva de los Ojos</t>
  </si>
  <si>
    <t>Cueva de Nerja</t>
  </si>
  <si>
    <t>Cueva de Tajo del jorox</t>
  </si>
  <si>
    <t>Schmidt et al. 2012; Vermeesch, 2020; Marques e Ruiz, 1975</t>
  </si>
  <si>
    <t>Cueva del Parpallo</t>
  </si>
  <si>
    <t>Nivel I e II</t>
  </si>
  <si>
    <t>Cueva Hora</t>
  </si>
  <si>
    <t>Schmidt et al. 2012; Vermeesch, 2020;Uriarte, 2002</t>
  </si>
  <si>
    <t>Cueva Perneras</t>
  </si>
  <si>
    <t xml:space="preserve"> Cueva de Levante</t>
  </si>
  <si>
    <t>Cueva Anton</t>
  </si>
  <si>
    <t>I-k, II-a,
II-c; II-b; II-d (nos quadrados J19, K19, J18)</t>
  </si>
  <si>
    <t>Schmidt et al. 2012; Vermeesch, 2020; Angelucci et al. 2013; Martinez Sanchez, 1995</t>
  </si>
  <si>
    <t>Cova Foradada (ou Forada)</t>
  </si>
  <si>
    <t>IV</t>
  </si>
  <si>
    <t>schmidt et al. 2012; Vermeersh, 2021; Zilhao, 2006; Arsuaga et al, 2001</t>
  </si>
  <si>
    <t>Schmidt et al. 2012; Vermeersch, 2020; Zilhao, 2006; Bonilla, 1984</t>
  </si>
  <si>
    <t>El Bajondillo</t>
  </si>
  <si>
    <t>Schmidt et al. 2012; Cortes-Sanchez et al. 2011; Zilhao, 2006; Cortes-sanchez e Vallejo, 2002</t>
  </si>
  <si>
    <t>Schmidt et al. 2012; Cortés-Sánchez et al. 2011; Zilhao, 2006; Cortes-Sanchez e Vallejo, 2002</t>
  </si>
  <si>
    <t xml:space="preserve"> Bj/10</t>
  </si>
  <si>
    <t>Schmidt et al. 2012; Cortés-Sánchez et al. 2011; Zilhao, 2006</t>
  </si>
  <si>
    <t>Bj/9 - Bj/6</t>
  </si>
  <si>
    <t>El Palomar</t>
  </si>
  <si>
    <t>XIII-VI</t>
  </si>
  <si>
    <t>II-I</t>
  </si>
  <si>
    <t>Finca Dona Martina</t>
  </si>
  <si>
    <t>Schmidt et al. 2012; Cascalheira e Bicho, 2015; Zilhao et al. 2010</t>
  </si>
  <si>
    <t>4;5</t>
  </si>
  <si>
    <t>Gorham Cave</t>
  </si>
  <si>
    <t>IV, CON 16, CON 18, CON19, CON 22, CON 22d, trench 7</t>
  </si>
  <si>
    <t xml:space="preserve"> IV(CON9) , CON 11, CON 13a</t>
  </si>
  <si>
    <t>III</t>
  </si>
  <si>
    <t>Higueral de Sierra Valleja</t>
  </si>
  <si>
    <t>La Fontanilla</t>
  </si>
  <si>
    <t>canessa, 2021; Vermeesch, 2020; Perez Ramos et al. 2012</t>
  </si>
  <si>
    <t xml:space="preserve"> El Pirulejo</t>
  </si>
  <si>
    <t>La Boja</t>
  </si>
  <si>
    <t xml:space="preserve">Las Palomas </t>
  </si>
  <si>
    <t>q</t>
  </si>
  <si>
    <t>Las Ventanas</t>
  </si>
  <si>
    <t>Pantano de Cubillas</t>
  </si>
  <si>
    <t>Pena  de la Grieta</t>
  </si>
  <si>
    <t>Rates Penaes</t>
  </si>
  <si>
    <t>Ratlla del Bubo</t>
  </si>
  <si>
    <t>Sima de Las Palomas del Cabezo Gordo</t>
  </si>
  <si>
    <t>Schmidt et al. 2012; vermeersch. 2020; Zilhao, 2006; Walker et al. 2008</t>
  </si>
  <si>
    <t>Observacoes (em caso de encontrar mais informacao)</t>
  </si>
  <si>
    <t xml:space="preserve">Cronologia </t>
  </si>
  <si>
    <t xml:space="preserve">Materia_prima </t>
  </si>
  <si>
    <t xml:space="preserve">Retocados </t>
  </si>
  <si>
    <t xml:space="preserve">Fauna </t>
  </si>
  <si>
    <r>
      <t xml:space="preserve">Contexto </t>
    </r>
    <r>
      <rPr>
        <b/>
        <sz val="11"/>
        <color rgb="FFFF0000"/>
        <rFont val="Calibri Light"/>
        <family val="2"/>
        <scheme val="major"/>
      </rPr>
      <t>(camadas)</t>
    </r>
  </si>
  <si>
    <t>X-XI</t>
  </si>
  <si>
    <t>Schmidt et al. 2012; Bonilla, 1979; Bonilla e Sanchez, 1981</t>
  </si>
  <si>
    <t>A analise litica não refere qual a materia-prima</t>
  </si>
  <si>
    <t>I; IIa</t>
  </si>
  <si>
    <t>fauna pouco abundante</t>
  </si>
  <si>
    <t>I-V</t>
  </si>
  <si>
    <t>Schmidt et al. 2012; Vermeesch, 2020; Cacho, 1981</t>
  </si>
  <si>
    <t>Schmidt el al. 2012; Vermeesch, 2020; Cacho, 1981</t>
  </si>
  <si>
    <t xml:space="preserve">Datacao </t>
  </si>
  <si>
    <t>Abrigo 1 de Vale Covoes</t>
  </si>
  <si>
    <t>Cueva del Serron -La Palica</t>
  </si>
  <si>
    <t>nao</t>
  </si>
  <si>
    <t>Layer 2e;2l</t>
  </si>
  <si>
    <t>Schmidt et al. 2012; Vermeersch. 2020; Zilhão. 1997</t>
  </si>
  <si>
    <t>Tapada do Montinho</t>
  </si>
  <si>
    <t>Cascalheira et al. 2021;Portal do Arqueologo,2021; Cunha et al., 2019; Pereira et al. 2012</t>
  </si>
  <si>
    <t>Schmidt et al. 2012;Zilhao, 2006; Iturbe et al. 1993; Faus et al. 2012</t>
  </si>
  <si>
    <t>Canessa, 2021; Toro Moyano e Ramos Lizana, 1976</t>
  </si>
  <si>
    <t>Monte da Fainha</t>
  </si>
  <si>
    <t>Schmidt et al.2012; Vermeesch, 2020; Bonilla, 1984.</t>
  </si>
  <si>
    <t>Cueva de la Pileta</t>
  </si>
  <si>
    <t>Casal do Flipe</t>
  </si>
  <si>
    <t>´- 8,757269</t>
  </si>
  <si>
    <t>38.970639</t>
  </si>
  <si>
    <t xml:space="preserve"> 38.702243</t>
  </si>
  <si>
    <t xml:space="preserve">  0.151262</t>
  </si>
  <si>
    <t>´-0,0.517463</t>
  </si>
  <si>
    <t>´-0,517463</t>
  </si>
  <si>
    <t>´ -5,287420</t>
  </si>
  <si>
    <t xml:space="preserve">superficie </t>
  </si>
  <si>
    <t>C2;C3</t>
  </si>
  <si>
    <t>25-50 cm</t>
  </si>
  <si>
    <t xml:space="preserve"> N/A</t>
  </si>
  <si>
    <t>N/A</t>
  </si>
  <si>
    <t>Notas:</t>
  </si>
  <si>
    <t xml:space="preserve">9;10 </t>
  </si>
  <si>
    <t>1-2m</t>
  </si>
  <si>
    <t>B2(2;3); S1 (3)</t>
  </si>
  <si>
    <t>X-X7; A (9-14);B(9-13);C(10-14);D(10-14);E(12,14);F12</t>
  </si>
  <si>
    <t xml:space="preserve">N/A - não se aplica, sem informaçao nas referencias, sitios destruidos </t>
  </si>
  <si>
    <t>B1; B2; C;E</t>
  </si>
  <si>
    <t>Cascalheira et al. 2021, Portal do Arqueologo, 2021; Marks et al. 2002</t>
  </si>
  <si>
    <t>Cascalheira et al. 2021; Portal do Arqueologo, 2021; Haws et al. 2010</t>
  </si>
  <si>
    <t>MN3a; MN3b</t>
  </si>
  <si>
    <t>Niveis 1-5</t>
  </si>
  <si>
    <t>Sondagem 2: UE5; A-C/7-9; camda 1 e 2</t>
  </si>
  <si>
    <t>C3</t>
  </si>
  <si>
    <t>A;B-I;B-II</t>
  </si>
  <si>
    <t>Verificar se fica acima dos 40ºlatitude, existem ainda Vale da Porta 2 e 3 tambem Paleolitico Medio</t>
  </si>
  <si>
    <t>VF2;VF8</t>
  </si>
  <si>
    <t>Schmidt et al. 2012; Cascalheira 2013</t>
  </si>
  <si>
    <t>remexido</t>
  </si>
  <si>
    <t>20 cm- 1m</t>
  </si>
  <si>
    <t>Presença de ossos de neandertais</t>
  </si>
  <si>
    <t>UE7-UE34</t>
  </si>
  <si>
    <t>UE4 - UE6</t>
  </si>
  <si>
    <t>Schmidt et al, 2012;Vermeesch, 2020; Bonilla e Sanchez. 1981; Viciano, 1982; Villaverde e Roman, 2013</t>
  </si>
  <si>
    <t>Schmidt et al. 2012; Vermeessch, 2020; Bonilla e Sanchez, 1981; Villaverde e Roman, 2013</t>
  </si>
  <si>
    <t xml:space="preserve">sem UE </t>
  </si>
  <si>
    <t>Superficie</t>
  </si>
  <si>
    <t>Cueva del Higueral- Guardia de Motillas</t>
  </si>
  <si>
    <t>Cueva del Higueral - Guardia de Motillas</t>
  </si>
  <si>
    <t>Nivel 4</t>
  </si>
  <si>
    <t>Nivel 7A e 7B</t>
  </si>
  <si>
    <t>D-E; 7 - 7.30m</t>
  </si>
  <si>
    <t>7.30 - 8m</t>
  </si>
  <si>
    <t>7.30</t>
  </si>
  <si>
    <t>Schmidt et al. 2012; Cortes Sanchez e Simon-Vallejo, 2007</t>
  </si>
  <si>
    <t>V</t>
  </si>
  <si>
    <t>VI-VIII</t>
  </si>
  <si>
    <t>(P4); P5</t>
  </si>
  <si>
    <t>Schmidt et al. 2012; Vermeesch, 2020; Cortez Sanchez et al. 2019; Evora, 2015;Cortez Sánchez et al. 2017;Cortez Sánchez et al. 2008</t>
  </si>
  <si>
    <t>IIIb</t>
  </si>
  <si>
    <t>Schmidt et al. 2012; Zilhao, 2006; Finlayson et al. 2006;Finlayson et al. 2014; Rodriguez-Vidal et al. 2014</t>
  </si>
  <si>
    <t>Schmidt et al. 2012; Zilhao, 2006; Finlayson et al. 2006;Rodriguez-Vidal et al. 2014</t>
  </si>
  <si>
    <t>Sem utensilios liticos arinhacenses</t>
  </si>
  <si>
    <t>Sem utensilios liticos gravetenses</t>
  </si>
  <si>
    <t>Schmidt et al. 2012;Bonilla, 197; Bonilla e Sanchez, 1981</t>
  </si>
  <si>
    <t>Sector Oeste</t>
  </si>
  <si>
    <t>I-IV</t>
  </si>
  <si>
    <t>Intervalo cronologico</t>
  </si>
  <si>
    <t>retocados confirmados</t>
  </si>
  <si>
    <t>retocados por verificar</t>
  </si>
  <si>
    <t>Cascalheira et al. 2021; Portal do Arqueologo, 2021; Cardoso, 2006</t>
  </si>
  <si>
    <t>sem retocados/sem tabela</t>
  </si>
  <si>
    <t>Cascalheira et al. 2021; Portal do Arqueologo, 2021; Zebyszewski et al. 1987</t>
  </si>
  <si>
    <t>Cascalheira et al. 2018; zilhao, 1997</t>
  </si>
  <si>
    <t>Schmidt et al.2012; Vermeesch, 2020; Bonilla e Sanchez, 1981</t>
  </si>
  <si>
    <t>Schmidt et al. 2012; Vermeesch, 2020; Jennings et al. 2009</t>
  </si>
  <si>
    <t>outros</t>
  </si>
  <si>
    <t>observaçoes</t>
  </si>
  <si>
    <t>Contagem de  Sitio</t>
  </si>
  <si>
    <t>cave</t>
  </si>
  <si>
    <t>Open-air</t>
  </si>
  <si>
    <t>Rockshelter</t>
  </si>
  <si>
    <t xml:space="preserve">Cronology </t>
  </si>
  <si>
    <t>Aurignacian</t>
  </si>
  <si>
    <t>Solutrean</t>
  </si>
  <si>
    <t>Mousterian</t>
  </si>
  <si>
    <t>no</t>
  </si>
  <si>
    <t>Cronology</t>
  </si>
  <si>
    <t>Datation</t>
  </si>
  <si>
    <t>yes</t>
  </si>
  <si>
    <t>Gravettian</t>
  </si>
  <si>
    <t xml:space="preserve">UE5;UE6; UE7 </t>
  </si>
  <si>
    <t>Aubry e Araújo Igreja. 2009; Portal do Arqueologo 2021; Aubry et al.2009</t>
  </si>
  <si>
    <t>Moustierense/ Aurinhacense?</t>
  </si>
  <si>
    <t>2;3;4; M15</t>
  </si>
  <si>
    <t>Zilhao,1997</t>
  </si>
  <si>
    <t>Referencias</t>
  </si>
  <si>
    <t>Almeida,2014</t>
  </si>
  <si>
    <t>Almeida, 2014</t>
  </si>
  <si>
    <t>muito abundante</t>
  </si>
  <si>
    <t>Cardoso,2006</t>
  </si>
  <si>
    <t>Muito abundante</t>
  </si>
  <si>
    <t>Cardoso,2006; Raposo, 1995</t>
  </si>
  <si>
    <t>não existe muitas referencias a materia prima</t>
  </si>
  <si>
    <t xml:space="preserve">numero de peças </t>
  </si>
  <si>
    <t xml:space="preserve">contagem em numero, as percentagens são referentes so ao silex e quartzo </t>
  </si>
  <si>
    <t>nulo</t>
  </si>
  <si>
    <t>Cascalheira et al. 2018;Portal do Arqueologo, 2021; Zilhao, 1997, Almeida, 2000</t>
  </si>
  <si>
    <t>Sugerida por Zilhao, 1997 que seria a transição entre gravetense e solutrense, rejeitando as datações TL</t>
  </si>
  <si>
    <t>25 090/220</t>
  </si>
  <si>
    <t>Schmidt et al. 2012; Cascalheira et al. 2021; Portal do Arqueologo 2021; Zilhao, 1997</t>
  </si>
  <si>
    <t>contagem em numero</t>
  </si>
  <si>
    <t xml:space="preserve"> Ja; Jb</t>
  </si>
  <si>
    <t xml:space="preserve"> K; L; M; N</t>
  </si>
  <si>
    <t>Fa;  Fb; Fc; H; I</t>
  </si>
  <si>
    <t>Corresponde somente À camda I (as camadas H, Fa, Fb, Fc são niveis remexidos e com poucos materiais)</t>
  </si>
  <si>
    <t>Variável</t>
  </si>
  <si>
    <t>Fonte</t>
  </si>
  <si>
    <t>Ordem</t>
  </si>
  <si>
    <t>Tipo de variável</t>
  </si>
  <si>
    <t>Slope</t>
  </si>
  <si>
    <t>Aspect</t>
  </si>
  <si>
    <t>Hilshade</t>
  </si>
  <si>
    <t>Altitude</t>
  </si>
  <si>
    <t>TPI</t>
  </si>
  <si>
    <t>Solar Radiation</t>
  </si>
  <si>
    <t xml:space="preserve">Litologia </t>
  </si>
  <si>
    <t>Distância euclidiana ao curso de água mais próximo</t>
  </si>
  <si>
    <t>Distância-custo ao curso de água mais próximo</t>
  </si>
  <si>
    <t>MDT -DEM</t>
  </si>
  <si>
    <t>Geomorfologia</t>
  </si>
  <si>
    <t>Cursos de agua</t>
  </si>
  <si>
    <t>Relevo</t>
  </si>
  <si>
    <t>Continua</t>
  </si>
  <si>
    <t>Categorica</t>
  </si>
  <si>
    <t>Ordem Cursos de agua mais proximos</t>
  </si>
  <si>
    <t>Primaria</t>
  </si>
  <si>
    <t>Secundaria</t>
  </si>
  <si>
    <t>IGME</t>
  </si>
  <si>
    <t>Referencia (Site)</t>
  </si>
  <si>
    <t>Cartografia Temática</t>
  </si>
  <si>
    <t>Cartografia Base</t>
  </si>
  <si>
    <t xml:space="preserve">DEM - Digital Elevation Model </t>
  </si>
  <si>
    <t xml:space="preserve">MDT </t>
  </si>
  <si>
    <t xml:space="preserve">Fonte </t>
  </si>
  <si>
    <t>SRTM</t>
  </si>
  <si>
    <t xml:space="preserve">Batimetria </t>
  </si>
  <si>
    <t>Mapa Base</t>
  </si>
  <si>
    <t>Limites geográficos</t>
  </si>
  <si>
    <t>ASFA thesaurus</t>
  </si>
  <si>
    <t>EMODnet</t>
  </si>
  <si>
    <t>ArcHydro</t>
  </si>
  <si>
    <t>https://emodnet.ec.europa.eu/geoviewer/</t>
  </si>
  <si>
    <t>Tipo de mapa</t>
  </si>
  <si>
    <t>Sistema de Coordenadas</t>
  </si>
  <si>
    <t>WGS84</t>
  </si>
  <si>
    <t>Formato</t>
  </si>
  <si>
    <t>Raster</t>
  </si>
  <si>
    <t>Vectorial</t>
  </si>
  <si>
    <t xml:space="preserve">https://www.marineregions.org/gazetteer.php?p=details&amp;id=7124 ou gadm.org </t>
  </si>
  <si>
    <t xml:space="preserve"> </t>
  </si>
  <si>
    <t xml:space="preserve">https://igme.maps.arcgis.com/home/webmap/viewer.html?webmap=c61f2f47789b4a0b84ae6aebca552754%20/ </t>
  </si>
  <si>
    <t xml:space="preserve">https://search.earthdata.nasa.gov/search?q=SRTM&amp;lat=79.79316615018855&amp;long=-282.9375&amp;zoom=0 </t>
  </si>
  <si>
    <t>ArcGis Toolset</t>
  </si>
  <si>
    <t>Altitude_Reclass</t>
  </si>
  <si>
    <t>251-300</t>
  </si>
  <si>
    <t>51-100</t>
  </si>
  <si>
    <t>101-150</t>
  </si>
  <si>
    <t xml:space="preserve">&lt;50 </t>
  </si>
  <si>
    <t>201-250</t>
  </si>
  <si>
    <t>&lt;50</t>
  </si>
  <si>
    <t>151-200</t>
  </si>
  <si>
    <t>351-400</t>
  </si>
  <si>
    <t>451-500</t>
  </si>
  <si>
    <t>301-350</t>
  </si>
  <si>
    <t>501-550</t>
  </si>
  <si>
    <t>551-600</t>
  </si>
  <si>
    <t>401-450</t>
  </si>
  <si>
    <t>801-850</t>
  </si>
  <si>
    <t>&gt;850</t>
  </si>
  <si>
    <t>751-800</t>
  </si>
  <si>
    <t>651-700</t>
  </si>
  <si>
    <t>701-750</t>
  </si>
  <si>
    <t>601-650</t>
  </si>
  <si>
    <t>Zilhão, 1997</t>
  </si>
  <si>
    <t>Zilhao, 1997Shmidt et al. 2012; Cascalheira et al. 2021; Portal do Arqueologo, 2021</t>
  </si>
  <si>
    <t>Galeria 2</t>
  </si>
  <si>
    <t>Nivel III ( A9IIC; 9Tvc)</t>
  </si>
  <si>
    <t>Nivel IV (C8)</t>
  </si>
  <si>
    <t>Não foram estudados em detalhe</t>
  </si>
  <si>
    <t>Zilhao, 1997; Shmidt et al. 2012; Cascalheira et al. 2021; Portal do Arqueologo, 2022</t>
  </si>
  <si>
    <t>Zilhao, 1997; Shmidt et al. 2012; Cascalheira et al. 2021; Portal do Arqueologo, 2023</t>
  </si>
  <si>
    <t>2s</t>
  </si>
  <si>
    <t>https://info.igme.es/cartografiadigital/geologica/Geologicos1MMapa.aspx?Id=Geologico1000_(1994)&amp;language=es; https://sniamb.apambiente.pt/content/cat%C3%A1logo</t>
  </si>
  <si>
    <t>Furtado et al. 1969</t>
  </si>
  <si>
    <t>Nivel II e nível remexido</t>
  </si>
  <si>
    <t>Outros: peças foliáceas em jaspe, calcedónia e xisto</t>
  </si>
  <si>
    <t>Marks et al, 2001</t>
  </si>
  <si>
    <t>Referentes aos níveis 8 e 9</t>
  </si>
  <si>
    <r>
      <t>31 900</t>
    </r>
    <r>
      <rPr>
        <sz val="11"/>
        <color theme="1"/>
        <rFont val="Aptos Narrow"/>
        <family val="2"/>
      </rPr>
      <t>±</t>
    </r>
    <r>
      <rPr>
        <sz val="8.25"/>
        <color theme="1"/>
        <rFont val="Calibri Light"/>
        <family val="2"/>
      </rPr>
      <t>200 BP e  32 740</t>
    </r>
    <r>
      <rPr>
        <sz val="8.25"/>
        <color theme="1"/>
        <rFont val="Aptos Narrow"/>
        <family val="2"/>
      </rPr>
      <t>± 420 BP</t>
    </r>
  </si>
  <si>
    <t>Não</t>
  </si>
  <si>
    <t>Sim</t>
  </si>
  <si>
    <t>Quartzo; Quartzito; Sílex</t>
  </si>
  <si>
    <t>Na camada 3 foram encontrados restos humanos (dentes e fragmento de maxila)</t>
  </si>
  <si>
    <t>Quartzo; Quartzito</t>
  </si>
  <si>
    <t>61 ± 7 Ka</t>
  </si>
  <si>
    <t>Quartzito</t>
  </si>
  <si>
    <t>Nulo</t>
  </si>
  <si>
    <t>Baío</t>
  </si>
  <si>
    <t>Superfíce - terraco Q4</t>
  </si>
  <si>
    <t>Superfície</t>
  </si>
  <si>
    <t>Quartzo</t>
  </si>
  <si>
    <t xml:space="preserve">Sim </t>
  </si>
  <si>
    <r>
      <t>23 920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 Light"/>
        <family val="2"/>
        <scheme val="major"/>
      </rPr>
      <t xml:space="preserve"> 300 BP</t>
    </r>
  </si>
  <si>
    <t>Abundante</t>
  </si>
  <si>
    <t>Quartzo; Sílex</t>
  </si>
  <si>
    <t>26 500 BP</t>
  </si>
  <si>
    <t>Quartzo;Quartzito; Sílex; Basalto</t>
  </si>
  <si>
    <t>Quartzito; Jaspe; Sílex</t>
  </si>
  <si>
    <t>Sílex</t>
  </si>
  <si>
    <t>Sílex; Quartzo; Quartzito; Cálcario</t>
  </si>
  <si>
    <t>Sílex; Quartzo; Quartzito; Cristal de rocha</t>
  </si>
  <si>
    <t>Quartzito; Sílex</t>
  </si>
  <si>
    <t>Sílex; Anfibolito; Xisto</t>
  </si>
  <si>
    <t>Jaspe; Quartzito</t>
  </si>
  <si>
    <t>Sílex; Jaspe; Xisto; Calcedónia</t>
  </si>
  <si>
    <t>Quartzo; Sílex; Cristal de rocha</t>
  </si>
  <si>
    <t>Sílex; Quartzo; Quartzito; Basalto</t>
  </si>
  <si>
    <t>Calcário; Sílex</t>
  </si>
  <si>
    <t>Sílex; Calcário; Quartzo</t>
  </si>
  <si>
    <t>Sílex; Quartzo; Quartzito; Calcário</t>
  </si>
  <si>
    <t>Sílex; Calcedónia; Quartzo</t>
  </si>
  <si>
    <t>Quartzito; Sílex; Arenito</t>
  </si>
  <si>
    <t>Sílex; Arenito</t>
  </si>
  <si>
    <t>Quartzito; Sílex; Calcário</t>
  </si>
  <si>
    <t>Sílex; Calcedónia</t>
  </si>
  <si>
    <t>Quartzo; Quartzito; Sílex; Calcário</t>
  </si>
  <si>
    <t>Conceição</t>
  </si>
  <si>
    <t>Abrigo 1 de Vale Covões</t>
  </si>
  <si>
    <t>Arneiro Cortiço</t>
  </si>
  <si>
    <t>Chainça</t>
  </si>
  <si>
    <t>CPM (Cabeço de Porto Marinho)</t>
  </si>
  <si>
    <t>Gruta do Caldeirão</t>
  </si>
  <si>
    <t>Gruta do Correio-Mór</t>
  </si>
  <si>
    <t>Gruta do Ourão</t>
  </si>
  <si>
    <t>Grutas do Poço Velho</t>
  </si>
  <si>
    <t>Lapa do Suão</t>
  </si>
  <si>
    <t>Mina do Paço</t>
  </si>
  <si>
    <t>Pedrogão</t>
  </si>
  <si>
    <t>21 500 BP a 22 500 BP</t>
  </si>
  <si>
    <t>44900±500 a 30930±700 BP</t>
  </si>
  <si>
    <t>40400 a 35300 BP</t>
  </si>
  <si>
    <t>23 490±280 BP</t>
  </si>
  <si>
    <t>241000 ± 30000 BP</t>
  </si>
  <si>
    <t>48620±128 a 30730±150 BP</t>
  </si>
  <si>
    <t>49400±640 a 36500 ±4500  BP</t>
  </si>
  <si>
    <t>34088±800 a 32938±1055 BP</t>
  </si>
  <si>
    <t>27200±2500  BP</t>
  </si>
  <si>
    <r>
      <t xml:space="preserve">17 850 </t>
    </r>
    <r>
      <rPr>
        <sz val="12"/>
        <color theme="1"/>
        <rFont val="Aptos Narrow"/>
        <family val="2"/>
      </rPr>
      <t>±</t>
    </r>
    <r>
      <rPr>
        <sz val="12"/>
        <color theme="1"/>
        <rFont val="Calibri Light"/>
        <family val="2"/>
      </rPr>
      <t xml:space="preserve">  200 BP</t>
    </r>
  </si>
  <si>
    <r>
      <t>28 900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 Light"/>
        <family val="2"/>
      </rPr>
      <t xml:space="preserve"> 900 BP e  26 400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 Light"/>
        <family val="2"/>
      </rPr>
      <t xml:space="preserve"> 750 BP</t>
    </r>
  </si>
  <si>
    <t>298901±130 BP</t>
  </si>
  <si>
    <t>24820±550 a 20220±320 BP</t>
  </si>
  <si>
    <t>27600±600</t>
  </si>
  <si>
    <t>26020±320  a 23040±340 BP</t>
  </si>
  <si>
    <t>21200±1840 a 18840±200 BP</t>
  </si>
  <si>
    <t>48900±223 a 26400±253 BP</t>
  </si>
  <si>
    <t>19300±115 a 15250±95 BP</t>
  </si>
  <si>
    <t>48090 ±1200 BP</t>
  </si>
  <si>
    <t>29800±250 a 17660±160 BP</t>
  </si>
  <si>
    <t>21380±810 a 17380±160 BP</t>
  </si>
  <si>
    <t>26000 BP</t>
  </si>
  <si>
    <t>25580±1820 BP</t>
  </si>
  <si>
    <t>23450±1240 BP</t>
  </si>
  <si>
    <t>21560±680 a 21560±220 BP</t>
  </si>
  <si>
    <t>19100±70 a 16280±40 BP</t>
  </si>
  <si>
    <t>34580±1010 a 30600±760 BP</t>
  </si>
  <si>
    <t>40450±2980 a 21810±160</t>
  </si>
  <si>
    <t xml:space="preserve"> 30290±320 a 18630±640 BP</t>
  </si>
  <si>
    <t>38750±650 a 30260±330 BP</t>
  </si>
  <si>
    <t>53781±2055 a 34270±230 BP</t>
  </si>
  <si>
    <t>24897 a 24750 BP</t>
  </si>
  <si>
    <t>81900 ±400</t>
  </si>
  <si>
    <t>16400±1800 a 7300±700 BP</t>
  </si>
  <si>
    <t>24381 ± 258 a 21859 ± 186 BP</t>
  </si>
  <si>
    <t>20620 ± 160 a 8825 ± 57 Cal BP</t>
  </si>
  <si>
    <t>30300±3900 a 12400±2100 BP</t>
  </si>
  <si>
    <t xml:space="preserve">20380±150 a 19940±180 BP </t>
  </si>
  <si>
    <t>51000±13000 a 68000±35000 BP</t>
  </si>
  <si>
    <t>124000 a 117000±26000 BP</t>
  </si>
  <si>
    <t>29490±260 a 20800±110 BP</t>
  </si>
  <si>
    <t>21880±100 a 14850±100 BP</t>
  </si>
  <si>
    <t>33170±370 a 30220±180 BP</t>
  </si>
  <si>
    <t>33050±350</t>
  </si>
  <si>
    <t>27984 a 17863 BP</t>
  </si>
  <si>
    <t>82200±8000 a 31150±170 BP</t>
  </si>
  <si>
    <t>21520±120 a 13740±140 BP</t>
  </si>
  <si>
    <t>18275±175 a 16180±140 BP</t>
  </si>
  <si>
    <t>26300±440 a 59700±2200 BP</t>
  </si>
  <si>
    <t>26312±966 a 11620±360 BP</t>
  </si>
  <si>
    <t>129880±6100 a 21430±130 BP</t>
  </si>
  <si>
    <t>29690±2324 BP</t>
  </si>
  <si>
    <t>25120±240 BP</t>
  </si>
  <si>
    <t>21710±2318 BP</t>
  </si>
  <si>
    <t>45150±650 a 38150±350 BP</t>
  </si>
  <si>
    <t>35320±360 a 29650±160 BP</t>
  </si>
  <si>
    <t>23880±130 a 12890±60 BP</t>
  </si>
  <si>
    <t>37410±240  BP</t>
  </si>
  <si>
    <t>21580±90 a 13275±55 BP</t>
  </si>
  <si>
    <t>48410±2420 a 31775±2598 BP</t>
  </si>
  <si>
    <t>33690±280 a 26013±2777 BP</t>
  </si>
  <si>
    <t>28660±120 a 29165±725 BP</t>
  </si>
  <si>
    <t>19990±480 a 17582±1521 BP</t>
  </si>
  <si>
    <t>31000 - 30000 a 26000 -25000</t>
  </si>
  <si>
    <t>62400±5100 a 31100±2500 BP</t>
  </si>
  <si>
    <t>2940±0270 a 28170±240 BP</t>
  </si>
  <si>
    <t>27500±2900 a 23800±600 BP</t>
  </si>
  <si>
    <t>20700±1200 a 10880±80 BP</t>
  </si>
  <si>
    <t>56800±2900 a 56800±2900 BP</t>
  </si>
  <si>
    <t>33200±3100 a 15500±3700 BP</t>
  </si>
  <si>
    <t>54000±3850 a 34450±600 BP</t>
  </si>
  <si>
    <t xml:space="preserve">31775-31415 cal BP
 </t>
  </si>
  <si>
    <t>14250±90 BP</t>
  </si>
  <si>
    <t>Em Pereira et al. 2012 e Cascalheira et al. 2021 falam numa ocupação moustierense, que não encontrei na referencia Almeida et al.2003</t>
  </si>
  <si>
    <t>UE8c</t>
  </si>
  <si>
    <t>Aubry e Igreja, 2009</t>
  </si>
  <si>
    <t>Aubry e Igreja, 2010</t>
  </si>
  <si>
    <t>Calculei a media dos valores das unidades estatigraficas</t>
  </si>
  <si>
    <t>2e; 2a; 2b; 2Cf</t>
  </si>
  <si>
    <t>Aubry et al. 2001</t>
  </si>
  <si>
    <t>GC4</t>
  </si>
  <si>
    <t>Schmidt et al.2012; Cascalheira et al. 2021;Portal do Arqueologo, 2021; Pereira et al., 2012; Aubry et al,2003; Aubry et al. 2010</t>
  </si>
  <si>
    <t>Aubry e Moura,1995; Aubry et al. 2010</t>
  </si>
  <si>
    <t>Thacker, 2001</t>
  </si>
  <si>
    <t>Pereira et al. 2019</t>
  </si>
  <si>
    <t>Burke et al. 2011</t>
  </si>
  <si>
    <t>Pouco abundante</t>
  </si>
  <si>
    <t>Zilhão,1997</t>
  </si>
  <si>
    <t xml:space="preserve">68% = jasper </t>
  </si>
  <si>
    <t>Raposo e Cardoso. 1998</t>
  </si>
  <si>
    <t>Bicho, 2004</t>
  </si>
  <si>
    <t>Verfificar melhor em pre historia de portugal</t>
  </si>
  <si>
    <t>Shmidt et al. 2012; Cascalheira et al. 2018; Portal do Arqueologo, 2021; Antunes, 1989; Raposo e Cardoso, 1998</t>
  </si>
  <si>
    <t>Foram incluidas as esquirolas</t>
  </si>
  <si>
    <t>Berrutiet al.2016</t>
  </si>
  <si>
    <t>A única referencia indica que o quartzo e o quartzito representam mais de 90%</t>
  </si>
  <si>
    <t>Bicho e Cardoso, 2010</t>
  </si>
  <si>
    <t>Marks et al, 2002</t>
  </si>
  <si>
    <t>Calculei a media dos valores das unidades estatigraficas, referentes à campanha de escavação de 1999</t>
  </si>
  <si>
    <t>Gasparões</t>
  </si>
  <si>
    <t>Burke et al. 2010</t>
  </si>
  <si>
    <t>Outros: utensílios líticos em jaspe (=118) e seixo (=6)</t>
  </si>
  <si>
    <t>Não publicado</t>
  </si>
  <si>
    <t>Finisterra</t>
  </si>
  <si>
    <t>Calculei a media dos valores das unidades estarigráficas</t>
  </si>
  <si>
    <t>Raposo e Cardoso, 1998</t>
  </si>
  <si>
    <t>Do conjunto de utensilios arqueológicos, fazem parte 200 peças, mas não está indicado a quantidade exata de materia -prima</t>
  </si>
  <si>
    <t>Zebyszewski et al. 1987</t>
  </si>
  <si>
    <t>Zilhao e Trinkaus, 2002</t>
  </si>
  <si>
    <t>Conjunto lítico exclusivo das U.E´S: 139,142, 143 e conjunto de T06</t>
  </si>
  <si>
    <t>Zilhao e Trinkaus, 2002, Alonso-Fernández et al. 2023</t>
  </si>
  <si>
    <t>TP06; 139; Niveis 139, 142, 143</t>
  </si>
  <si>
    <t>Cascalheira et al. 2021; Portal do Arqueologo, 2021; Peça  et al. 2013</t>
  </si>
  <si>
    <t>Peça et al. 2013</t>
  </si>
  <si>
    <t xml:space="preserve"> B; P</t>
  </si>
  <si>
    <t>Outros: 1 lasca em Anfibolite</t>
  </si>
  <si>
    <t>Cascalheira et al. 2021; Maio, 2018; Portal do Arqueologo, 2021; Bicho, 2004a, 2004b</t>
  </si>
  <si>
    <t>Bicho 2004a, 2004b</t>
  </si>
  <si>
    <t>Cascalheira et al, 2021; Portal do Arqueologo, 2021; Maio, 2018; Bicho 2004a, 2004b</t>
  </si>
  <si>
    <t xml:space="preserve"> Sílex</t>
  </si>
  <si>
    <t>Schmidt et al. 2012; Portal do Arqueologo, 2021; Zilhão e Almeida, 1996</t>
  </si>
  <si>
    <t>Zilhão e Almeida, 1996</t>
  </si>
  <si>
    <t>Valores correspondes às peças de remontagem</t>
  </si>
  <si>
    <t xml:space="preserve"> O; R; S; U;T</t>
  </si>
  <si>
    <t>Almeida et al. 2007</t>
  </si>
  <si>
    <t>Schmidt et al. 2012;Portal do Arqueologo, 2021; Almeida et al. 2007</t>
  </si>
  <si>
    <t xml:space="preserve">Valores exclusivos das camadas U e T </t>
  </si>
  <si>
    <t>48000±370 a 41360±820</t>
  </si>
  <si>
    <t>36390±210 a 30790±120</t>
  </si>
  <si>
    <t>26680±80</t>
  </si>
  <si>
    <t>JJ; KK</t>
  </si>
  <si>
    <t>DD; GG; HH; II; JJ</t>
  </si>
  <si>
    <t>Os utensilios retocados são em pouca quantidade ( =8)</t>
  </si>
  <si>
    <t>cascalheira et al. 2018; Cascalheira et al. 2021;Portal do Arqueologo, 2021; Bicho et al. 2006; Zilhão, 2021; Haws et al. 2020; Benedetti et al. 2019</t>
  </si>
  <si>
    <t>Schmidt et al. 2012; Portal do Arqueologo, 2021; Zilhao, 1997; Furtado et al. 1969;</t>
  </si>
  <si>
    <t>Carvalho et al. 2022</t>
  </si>
  <si>
    <t>Média das percentagens dos dois níveis arqueológicos</t>
  </si>
  <si>
    <t>Haws et al. 2020</t>
  </si>
  <si>
    <t>Haws et al. 2021</t>
  </si>
  <si>
    <t>X; W; ; U; T</t>
  </si>
  <si>
    <t>99.3%</t>
  </si>
  <si>
    <t>0.7%</t>
  </si>
  <si>
    <t>Burke et al, 2011</t>
  </si>
  <si>
    <t>O quartzo corresponde ao Jaspe (microgranular quartzo microangular e calcedónia criptocristalina)  - devo considerar Outros?</t>
  </si>
  <si>
    <t>Haws et al.2010</t>
  </si>
  <si>
    <t>94.6%</t>
  </si>
  <si>
    <t>5.4%</t>
  </si>
  <si>
    <t>Haws et al.2019; Belmiro et al. 2021</t>
  </si>
  <si>
    <t xml:space="preserve">Outros: Jaspe (microgranular quartzo microangular e calcedónia criptocristalina) </t>
  </si>
  <si>
    <t>Outros: Jaspe (microgranular quartzo microangular e calcedónia criptocristalina); na referencia estava mencionado que os 7% seriam em quarzto e quartzito não especificou quais</t>
  </si>
  <si>
    <t>Cascalheira et al. 2021; Portal do Arqueologo, 2021; Cura et al.2016</t>
  </si>
  <si>
    <t>Cura et al.2016</t>
  </si>
  <si>
    <t>Oosterbeek et al. 2020</t>
  </si>
  <si>
    <t>Pedergnana et al. 2011</t>
  </si>
  <si>
    <t>Bicho, 2004a; Bicho 2004b</t>
  </si>
  <si>
    <t>Haws et al. 2010</t>
  </si>
  <si>
    <t>Cunha Ribeiro e Cura, 2013</t>
  </si>
  <si>
    <t>Schmidt et al. 2012;Portal do Arqueologo, 2021; Almeida et al, 1999; Cunha et al.2007</t>
  </si>
  <si>
    <t>Schmidt et al. 2012; portal do Arqueologo, 2021; Almeida et al. 1999; Cunha et al.2007</t>
  </si>
  <si>
    <t>Schmidt et al. 2012;Portal do Arqueologo, 2021; Cascalheira et al. 2013</t>
  </si>
  <si>
    <t>Marreiros, 2012</t>
  </si>
  <si>
    <t>Cascalheira et al. 2013; Belmiro et al.2021</t>
  </si>
  <si>
    <t>Média das percentagens das camadsa 4, 5E,  A, B e C das referencias indicadas</t>
  </si>
  <si>
    <t xml:space="preserve">Média das percentagens dos 4 conjuntos arqueológicos, em Marreiros, 2012 </t>
  </si>
  <si>
    <t>Não existe indicações na referencia de uma ocupação gravetense</t>
  </si>
  <si>
    <t>Zilhão, 1997; Penalva, A, C.; Ferreira, O. da Veiga, 1979</t>
  </si>
  <si>
    <t>Segundo as referências existem poucos utensílios líticos, resumindo-se a duas peças em sílex</t>
  </si>
  <si>
    <t>UE3b</t>
  </si>
  <si>
    <t>UE3a / UE3b.d1</t>
  </si>
  <si>
    <t>Aubry, T. et al. 2012; Aubry, T. et al. 2016</t>
  </si>
  <si>
    <t>Segundo as referências não existe uma divisão entre os materiais líticos do Gravetense edo Solutrense</t>
  </si>
  <si>
    <t>Raposo, 1983; Raposo,1995; Raposo e Carlos da Silva, 1980</t>
  </si>
  <si>
    <t xml:space="preserve">Nas referências apenas existe informação que indica que os utensilios líticos seriam tanto em sílex como quartzito </t>
  </si>
  <si>
    <t>Portal do Arqueólogo, 2025</t>
  </si>
  <si>
    <t>No portal do arqueólogo, correspondem a este local Vale da Porta (1,2,3 e 4 ) já que estão todos na mesma área</t>
  </si>
  <si>
    <t>Cardoso, 2006</t>
  </si>
  <si>
    <t>Local que apresenta uma datação mais antiga que a baliza cronologica</t>
  </si>
  <si>
    <t>Vilas Ruivas</t>
  </si>
  <si>
    <t>Cascalheira et al.2021; Portal do Arqueologo, 2021; Pereira et al., 2012; Almeida, 2014</t>
  </si>
  <si>
    <t>Encontrei os dados nesta referência</t>
  </si>
  <si>
    <t>Falta consultar esta referencia: Aubry et al. 2005</t>
  </si>
  <si>
    <t>Aubry et al,2009; Aubry et al.2010</t>
  </si>
  <si>
    <t>Aubry e Moura, 1995; Aubry et al,2009; Aubry et al.2010</t>
  </si>
  <si>
    <t xml:space="preserve"> C9a</t>
  </si>
  <si>
    <t>C10</t>
  </si>
  <si>
    <t>Nas referencias existe indicação a 100 peças em sílex mas não representam a totalidade das peças</t>
  </si>
  <si>
    <t>Nas referencias não existe indicação da quantidade de matéria-prima</t>
  </si>
  <si>
    <t>Não encontro referencias associadas a este sítio arqueológico</t>
  </si>
  <si>
    <t>Sílex; Calcário; Quartzito</t>
  </si>
  <si>
    <t>IV-I</t>
  </si>
  <si>
    <t xml:space="preserve"> 121000±18 BP</t>
  </si>
  <si>
    <t>Vermeersh, 2020;Fernández-Peris et al. 2008; Fernández-Peris et al. 2010; Fernández-Peris et al. 2020</t>
  </si>
  <si>
    <t>Fernández-Peris et al. 2020</t>
  </si>
  <si>
    <t>Bonilla, 1984</t>
  </si>
  <si>
    <t>As datações para a Gruta Bolomor são bastante antigas não incluindo a baliza cronologica. Devo manter?</t>
  </si>
  <si>
    <t>Otte, 1996</t>
  </si>
  <si>
    <t>Fernandez et al. 1998</t>
  </si>
  <si>
    <t>Pelo site do sítio apenas está indicado ns fotos a presença de silex, os artigos não referem matérias-primas,</t>
  </si>
  <si>
    <t>sem informação e sem artigos</t>
  </si>
  <si>
    <t xml:space="preserve"> XIIB</t>
  </si>
  <si>
    <t>Schmidt et al. 2012; Vermeesch. 2020; Real et al, 2017; Vilaverde et al. 1999; Villaverde e Roman, 2004</t>
  </si>
  <si>
    <t>Real et al. 2017</t>
  </si>
  <si>
    <t xml:space="preserve"> Villaverde e Roman, 2004</t>
  </si>
  <si>
    <t>Sector A, B, níveis II e V</t>
  </si>
  <si>
    <t>Mayor et al. 2025</t>
  </si>
  <si>
    <t>Bonilla, 1984 sem indicação das materias-primas</t>
  </si>
  <si>
    <t>Aparicio Perez et al. 1976</t>
  </si>
  <si>
    <t xml:space="preserve"> Bonilla e Sanchez, 1981</t>
  </si>
  <si>
    <t>Referentes à campanha de 2016</t>
  </si>
  <si>
    <t>Schmidt el al. 2012; Vermeesch, 2020; Roman et al. 2021</t>
  </si>
  <si>
    <t>Roman et al. 2021</t>
  </si>
  <si>
    <t>Nivel A</t>
  </si>
  <si>
    <t>Bonilla e Vilanova, 2017</t>
  </si>
  <si>
    <t>Outros: Calcário silicoso</t>
  </si>
  <si>
    <t>Cova Vermeja</t>
  </si>
  <si>
    <t>Não existe referencia à quantidade de matéria-prima</t>
  </si>
  <si>
    <t>Bonilla e Sanchez, 1981</t>
  </si>
  <si>
    <t>Cascalheira, 2013</t>
  </si>
  <si>
    <t>Cascalheira, 2013; Vermeesch, 2020; Bonilla e Sanchéz, 1981; Cacho Quesada, 1981</t>
  </si>
  <si>
    <t>Schmidt et al. 2012; Vermeesch, 2020; Bonilla e Sanchéz, 1981; Cacho Quesada, 1981</t>
  </si>
  <si>
    <t>Cacho Quesada, 1981</t>
  </si>
  <si>
    <t>Níveis V</t>
  </si>
  <si>
    <t>Níveis VI - VII</t>
  </si>
  <si>
    <t>Schmidt et al. 2012; Bernardez, 1980; Cacho Quesada, 1981; Martinez, 2015; Zilhão e Vilaverde, 2008</t>
  </si>
  <si>
    <t>Schmidt et al. 2012; Bernardez, 1980; Cacho Quesada, 1981; Zilhão e Vilaverde, 2008</t>
  </si>
  <si>
    <t>Montes Bernardez, 1985</t>
  </si>
  <si>
    <t>Montes Bernardez, 1986</t>
  </si>
  <si>
    <t>Apenas existe referencia a totalidade de matéria-prima</t>
  </si>
  <si>
    <t>Calcário; Quartzito; Sílex</t>
  </si>
  <si>
    <t xml:space="preserve"> Martinez Sanchez, 1995</t>
  </si>
  <si>
    <t>Outros: 65,82% correspondem ao calcário</t>
  </si>
  <si>
    <t>D4-D1</t>
  </si>
  <si>
    <t>388800±1900 BP</t>
  </si>
  <si>
    <t xml:space="preserve"> C2; C4; B8-B9</t>
  </si>
  <si>
    <t>B8 - B7</t>
  </si>
  <si>
    <t>B6-B1</t>
  </si>
  <si>
    <t>26040±890</t>
  </si>
  <si>
    <t>Iturbe et al. 1993</t>
  </si>
  <si>
    <t>Schmidt et al. 2012; Vermeesch, 2020; Perez, 199; Barroso-Ruiz e Lumley, 2006; Barroso-Ruíz et al. 2003</t>
  </si>
  <si>
    <t>Schmidt et al. 2012; Vermeesch, 2020; Perez, 1998; Barroso-Ruiz e Lumley, 2006; Barroso-Ruíz et al. 2003</t>
  </si>
  <si>
    <t>Schmidt et al. 2012; Vermeesch, 2020;Perez, 1998; Barroso-Ruiz e Lumley, 2006;Barroso-Ruíz et al. 2003</t>
  </si>
  <si>
    <t>Barroso-Ruiz e Lumley, 2006;Barroso-Ruíz et al. 2004</t>
  </si>
  <si>
    <t>Barroso-Ruiz e Lumley, 2006;Barroso-Ruíz et al. 2005</t>
  </si>
  <si>
    <t>Barroso-Ruiz e Lumley, 2006;Barroso-Ruíz et al. 2006</t>
  </si>
  <si>
    <t>Sílex; Quartzo</t>
  </si>
  <si>
    <t>Barroso-Ruiz et al.2014</t>
  </si>
  <si>
    <t>Viciano, 1982</t>
  </si>
  <si>
    <t xml:space="preserve">Outros: Calcário </t>
  </si>
  <si>
    <t>Não há indicação das materias primas nas referencias</t>
  </si>
  <si>
    <t>Bonilla e Sanchez, 1981; Villaverde e Roman, 2013</t>
  </si>
  <si>
    <t>Schmidt el al. 2012; Perez,1998; Zilhao, 2006;  Reys et al. 2008; Carrion et al. 2019</t>
  </si>
  <si>
    <t>XII - V</t>
  </si>
  <si>
    <t xml:space="preserve">Não há referencia à matéria-prima </t>
  </si>
  <si>
    <t>Perez,1998; Zilhao, 2006; Carrion et al. 2019</t>
  </si>
  <si>
    <t>Cueva de les Mallaetes (or Malladetes)</t>
  </si>
  <si>
    <t>XII; XIII; XIVA</t>
  </si>
  <si>
    <t>VII; VIII; XIX; X; XI</t>
  </si>
  <si>
    <t>Villaverde et al.2021</t>
  </si>
  <si>
    <t>Outros: 1 corresponde a calcário</t>
  </si>
  <si>
    <t>Outros: 53 corresponde a calcário</t>
  </si>
  <si>
    <t>I; II; III; VI</t>
  </si>
  <si>
    <t>Sílex; Calcário</t>
  </si>
  <si>
    <t>Schmidt et al. 2012;Vermeesch, 2020; Cacho Quesada, 1981; Fortea e Jorda, 1976; Villaverde et al.2021</t>
  </si>
  <si>
    <t>n/a</t>
  </si>
  <si>
    <t>Fortea e Jorda, 1976; Villaverde et al.2021</t>
  </si>
  <si>
    <t>Não existe referencia à quantidade de matéria-prima (possivelmente tudo em sílex?)</t>
  </si>
  <si>
    <t>Schmidt el al. 2012; Zilhão et al. 2010</t>
  </si>
  <si>
    <t>Zilhão et al. 2010</t>
  </si>
  <si>
    <t>Nivel Médio e Superior</t>
  </si>
  <si>
    <t>Nivel Inferior</t>
  </si>
  <si>
    <t>Cacho Quesada, 1980; Cacho Quesada, 1981</t>
  </si>
  <si>
    <t>96, 3 %</t>
  </si>
  <si>
    <t>Indicação pela autora que os níveis encontam-se remexidos, no entanto em Quesada, 1981, indica que o gravetense apenas aparece no nivel medio e superior</t>
  </si>
  <si>
    <t>Sílex; Quartzito</t>
  </si>
  <si>
    <t>Toro e Almohalla, 1983</t>
  </si>
  <si>
    <t>Schmidt et al. 2012; Vermeesch, 2020; Fernandez, 2000; Toro e Almohalla, 1983</t>
  </si>
  <si>
    <t>NV9; NV8</t>
  </si>
  <si>
    <t>NV13; NV12; NV11; NV10</t>
  </si>
  <si>
    <t xml:space="preserve"> Aura tortosa et al. 2012</t>
  </si>
  <si>
    <t>Outros: presença de utensílios lítixos em jaspe, calcário e ocre</t>
  </si>
  <si>
    <t>Schmidt et al. 2012; Vermeesch, 2020; Aura Tortosa et al.2002;  Jorda e Aura Tortosa, 2008; Aura Tortosa et al. 2006; Aura Tortosa e Jordá Prado, 2013; Aura et al. 2014</t>
  </si>
  <si>
    <t>Schmidt et al. 2012; Vermeesch, 2020;Aura Tortosa et al. 2002; Jordá Prado e Aura tortosa, 2008; Aura tortosa et al. 2010; Aura tortosa et al. 2013</t>
  </si>
  <si>
    <t>Aura Tortosa e Jordá Prado, 2013</t>
  </si>
  <si>
    <t>Não existe uma referencia que aborde o tipo de matéria-prima do solutrense, apenas indica percentagem que abrange o gravetense e o solutrense</t>
  </si>
  <si>
    <t>Outros: utensilios líticos com materia-prima indeterminada</t>
  </si>
  <si>
    <t xml:space="preserve"> Marques e Ruiz, 1975</t>
  </si>
  <si>
    <t>Baena Preysler et al. 2012; Giles Pacheco et al. 1997</t>
  </si>
  <si>
    <t>Schmidt et al. 2012; Pacheco e Lopez, 2017; Baena Preysler et al. 2012; Giles Pacheco et al. 1997</t>
  </si>
  <si>
    <t>Schmidt et al. 2012; Pacheco e Lopez, 2017; Baena Preysler et al. 2012; Giles Pacheco et al. 1998</t>
  </si>
  <si>
    <t>Sílex; Quartztio</t>
  </si>
  <si>
    <t>Pericot, 1942 e 1965</t>
  </si>
  <si>
    <t>Schmidt et al. 2012;Vermeesch, 2020; Cascalheira,2013; Pericot, 1942 ; Pericot,1965</t>
  </si>
  <si>
    <t>Schmidt et al. 2012;Vermeesch, 2020; Cascalheira,2013; Pericot, 1942 ; Pericot,1966</t>
  </si>
  <si>
    <t>Indústria prima de fraca qualidade, mas que a totalidade é em sílex.</t>
  </si>
  <si>
    <t>Nivel inferior</t>
  </si>
  <si>
    <t>Nivel médio e superior</t>
  </si>
  <si>
    <t>Schmidt et al. 2012; Cacho Quesada, 1981</t>
  </si>
  <si>
    <t>Cacho Quesada, 1982</t>
  </si>
  <si>
    <t>Média dos dois níveis</t>
  </si>
  <si>
    <t>Uriarte, 2002</t>
  </si>
  <si>
    <t>Bj/20 - Bj/14</t>
  </si>
  <si>
    <t xml:space="preserve"> Bj/13 - Bj/11</t>
  </si>
  <si>
    <t>Valores correspondentes às ues Bj/17 - Bj/14 - foi calculada a média</t>
  </si>
  <si>
    <t>0,4%7</t>
  </si>
  <si>
    <t>Valores correspondentes à ue Bj/10</t>
  </si>
  <si>
    <t>Valores correspondentes às ues Bj/8- Bj/6 - foi calculada a média</t>
  </si>
  <si>
    <t>Valores correspondentes às ues Bj/13 - Bj/11 - foi calculada a média</t>
  </si>
  <si>
    <t>Cortéz Sánchez, 2007</t>
  </si>
  <si>
    <t>Cortéz Sánchez, 2008</t>
  </si>
  <si>
    <t>Cortéz Sánchez, 2009</t>
  </si>
  <si>
    <t>Cortéz Sánchez, 2010</t>
  </si>
  <si>
    <t>Cortes Sanchez e Simon-Vallejo, 2007</t>
  </si>
  <si>
    <t>Zilhao et al. 2010</t>
  </si>
  <si>
    <t>As informações sobre os utensílios líticos são muito vagas.Não existe referencia à quantidade de matéria-prima</t>
  </si>
  <si>
    <t>Schmidt et al. 2012; Vermeesch. 2020; Bernardez, 1980; Cacho Quesada, 1981; Zilhao e Villaverde, 2008</t>
  </si>
  <si>
    <t>Cacho Quesada, 1981; Zilhao e Villaverde, 2008</t>
  </si>
  <si>
    <t>Schmidt et al. 2012; Lopez et al. 1998</t>
  </si>
  <si>
    <t xml:space="preserve"> Lopez et al. 1998</t>
  </si>
  <si>
    <t>Outros: arenito. Foi calculada a média dos dois níveis</t>
  </si>
  <si>
    <t>V-III</t>
  </si>
  <si>
    <t xml:space="preserve"> Vermeesch, 2020; Martinez, 2020; Peña Alonso e Veja Toscano, 2013; Pena, 2013</t>
  </si>
  <si>
    <t xml:space="preserve"> Vermeesch, 2020; Martinez, 2020; Peña Alonso e Veja Toscano, 2013; Pena, 2014</t>
  </si>
  <si>
    <t xml:space="preserve"> Vermeesch, 2020; Martinez, 2020; Peña Alonso e Veja Toscano, 2013; Pena, 2015</t>
  </si>
  <si>
    <t>Peña Alonso e Veja Toscano, 2013; Pena, 2013</t>
  </si>
  <si>
    <t>Peña Alonso e Veja Toscano, 2013; Pena, 2014</t>
  </si>
  <si>
    <t>Peña Alonso e Veja Toscano, 2013; Pena, 2015</t>
  </si>
  <si>
    <t>Outros: Calcário.Não existe referencia à quantidade de matéria-prima</t>
  </si>
  <si>
    <t>Córtez Sanchez et al. 2014; Cánovas Calle et al. 2016</t>
  </si>
  <si>
    <t>Rodríguez-Vidal, 2014</t>
  </si>
  <si>
    <t>Rodríguez-Vidal, 2015</t>
  </si>
  <si>
    <t>Rodríguez-Vidal, 2016</t>
  </si>
  <si>
    <t xml:space="preserve"> V - X</t>
  </si>
  <si>
    <t>Giles Guzmán et al. 2017</t>
  </si>
  <si>
    <t>Schmidt et al. 2012; Vermeesch, 2020; Jennings et al. 2009; Giles Guzmán et al. 2017</t>
  </si>
  <si>
    <t>Schmidt et al. 2012; Vermeesch, 2020; Jennings et al. 2009; Giles Guzmán et al. 2018</t>
  </si>
  <si>
    <t>Jennings et al. 2009</t>
  </si>
  <si>
    <t>Quantidade de líticos em menor quantidade e sem analise detalhada</t>
  </si>
  <si>
    <t>Sond 11, Zona 2</t>
  </si>
  <si>
    <t xml:space="preserve"> Perez Ramos et al. 2012</t>
  </si>
  <si>
    <t>Lucena et al. 2013</t>
  </si>
  <si>
    <t>IL4 - OH21a</t>
  </si>
  <si>
    <t>OH20 - OH15</t>
  </si>
  <si>
    <t>OH13 - OH11b</t>
  </si>
  <si>
    <t>OH11a - OH5</t>
  </si>
  <si>
    <t>40380±1110 a 37160±680</t>
  </si>
  <si>
    <t>30548±363 a 19100±90 BP</t>
  </si>
  <si>
    <t>33017±310 a 30548±363</t>
  </si>
  <si>
    <t>20720±100 a 16580±70 BP</t>
  </si>
  <si>
    <t>Cascalheira e Bicho, 2015; Vermeesch, 2020; Zilhao et al. 2010; Lucena et al. 2013; Zilhão et al. 2017; Zilhão et al. 2025</t>
  </si>
  <si>
    <t>Cascalheira e Bicho, 2015; Vermeesch, 2020; Zilhao et al. 2010; Lucena et al. 2013; Zilhão et al. 2017; Zilhão et al. 2026</t>
  </si>
  <si>
    <t>Cascalheira e Bicho, 2015; Vermeesch, 2020; Zilhao et al. 2010; Lucena et al. 2013; Zilhão et al. 2017; Zilhão et al. 2027</t>
  </si>
  <si>
    <t>Cascalheira e Bicho, 2015; Vermeesch, 2020; Zilhao et al. 2010; Lucena et al. 2013; Zilhão et al. 2017; Zilhão et al. 2028</t>
  </si>
  <si>
    <t>Faun mamalógica em pouca quantidade, e abundancia de fauna malacológica</t>
  </si>
  <si>
    <t>; Zilhão et al. 2017</t>
  </si>
  <si>
    <t>Zilhão et al. 2017</t>
  </si>
  <si>
    <t xml:space="preserve"> Zilhão et al. 2017</t>
  </si>
  <si>
    <t>Outros: Calcário</t>
  </si>
  <si>
    <t>Sílex; Quartzito; Calcário</t>
  </si>
  <si>
    <t>7b - 6</t>
  </si>
  <si>
    <t>22965±287 a 19180±90 BP</t>
  </si>
  <si>
    <t>26990±220 a 23480±150 BP</t>
  </si>
  <si>
    <t>Schmidt et al. 2012; Cascalheira e Bicho, 2015; Zilhao et al. 2010; Zilhão et al. 2017</t>
  </si>
  <si>
    <t>Domínguez-Bella et al. 2023</t>
  </si>
  <si>
    <t>Schmidt et al. 2012; Vermeesch, 2020; Medianero et al.2011; Domínguez-Bella et al. 2023</t>
  </si>
  <si>
    <t>Confirmar a altitude</t>
  </si>
  <si>
    <t>Canessa, 2021; Vermeesch, 2020; Sáncez-Tarifa, 2004</t>
  </si>
  <si>
    <t>Sáncez-Tarifa, 2004</t>
  </si>
  <si>
    <t>Área A</t>
  </si>
  <si>
    <t>Áreas A e B</t>
  </si>
  <si>
    <t xml:space="preserve"> Toro Moyano e Ramos Lizana, 1976</t>
  </si>
  <si>
    <t>Schmidt et al. 2012; Vermeesch, 2020; Cascalheira e Bicho, 2015; Canessa, 2021; Banks et al.2009; Lopez Reyes et al. 2008</t>
  </si>
  <si>
    <t xml:space="preserve"> Lopez Reyes et al. 2008</t>
  </si>
  <si>
    <t>; Bonilla e Sanchez, 1981</t>
  </si>
  <si>
    <t>Schmidt et al. 2012; Cascalheira e Bicho, 2015; Soler et al. 1990; Martínez-Alfaro et al. 2022</t>
  </si>
  <si>
    <t>25890±100 a 21770±80</t>
  </si>
  <si>
    <t>Martínez-Alfaro et al. 2022</t>
  </si>
  <si>
    <t>I</t>
  </si>
  <si>
    <t>Outros: Calcedónia, Jaspe, arenito e quartzito (mas sem referencia à quantidade). Percentagem referida para todas as u.es</t>
  </si>
  <si>
    <t>Solutrense referido como solutreo-gravetense. Considero Solutrense?</t>
  </si>
  <si>
    <t>Walker MJ, et al. (1998)</t>
  </si>
  <si>
    <t xml:space="preserve">Outros: calcário, mármore. Walker refere o uso destas matérias-primas de igual modo. </t>
  </si>
  <si>
    <t>Cascalheira et al. 2021, Maio, 2018</t>
  </si>
  <si>
    <t>Cánovas Calle et al. 2016 fez uma analise litica ao silex da U.E P5, mas existem evidencias de outras materias -primas não mencionadas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</si>
</sst>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 tint="4.9989318521683403E-2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badi Extra Light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charset val="1"/>
    </font>
    <font>
      <sz val="10"/>
      <name val="Arial"/>
      <charset val="1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8.25"/>
      <color theme="1"/>
      <name val="Calibri Light"/>
      <family val="2"/>
    </font>
    <font>
      <sz val="8.25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/>
    <xf numFmtId="0" fontId="4" fillId="0" borderId="6" xfId="0" applyFont="1" applyBorder="1"/>
    <xf numFmtId="0" fontId="4" fillId="0" borderId="8" xfId="0" applyFont="1" applyBorder="1"/>
    <xf numFmtId="0" fontId="6" fillId="0" borderId="1" xfId="0" applyFont="1" applyBorder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2" borderId="1" xfId="0" applyFont="1" applyFill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0" xfId="0" pivotButton="1"/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0" fillId="3" borderId="0" xfId="0" applyFill="1"/>
    <xf numFmtId="0" fontId="4" fillId="6" borderId="1" xfId="0" applyFont="1" applyFill="1" applyBorder="1" applyAlignment="1">
      <alignment wrapText="1"/>
    </xf>
    <xf numFmtId="0" fontId="4" fillId="6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2"/>
    <xf numFmtId="0" fontId="13" fillId="3" borderId="0" xfId="2" applyFill="1"/>
    <xf numFmtId="0" fontId="14" fillId="7" borderId="0" xfId="0" applyFont="1" applyFill="1" applyAlignment="1">
      <alignment horizontal="center"/>
    </xf>
    <xf numFmtId="0" fontId="15" fillId="0" borderId="0" xfId="0" applyFont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4" fillId="0" borderId="10" xfId="0" applyFont="1" applyBorder="1"/>
    <xf numFmtId="0" fontId="0" fillId="0" borderId="0" xfId="1" applyNumberFormat="1" applyFont="1" applyFill="1" applyBorder="1"/>
    <xf numFmtId="9" fontId="0" fillId="0" borderId="10" xfId="0" applyNumberFormat="1" applyBorder="1"/>
    <xf numFmtId="9" fontId="0" fillId="0" borderId="0" xfId="0" applyNumberFormat="1"/>
    <xf numFmtId="0" fontId="9" fillId="0" borderId="1" xfId="0" applyFont="1" applyBorder="1"/>
    <xf numFmtId="1" fontId="0" fillId="0" borderId="10" xfId="0" applyNumberFormat="1" applyBorder="1"/>
    <xf numFmtId="1" fontId="0" fillId="0" borderId="0" xfId="0" applyNumberFormat="1"/>
    <xf numFmtId="16" fontId="4" fillId="0" borderId="1" xfId="0" applyNumberFormat="1" applyFont="1" applyBorder="1"/>
    <xf numFmtId="0" fontId="4" fillId="0" borderId="11" xfId="0" applyFont="1" applyBorder="1"/>
    <xf numFmtId="0" fontId="5" fillId="0" borderId="0" xfId="0" applyFont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4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/>
    <xf numFmtId="0" fontId="4" fillId="0" borderId="5" xfId="0" applyFont="1" applyBorder="1"/>
    <xf numFmtId="0" fontId="0" fillId="0" borderId="12" xfId="0" applyBorder="1"/>
    <xf numFmtId="0" fontId="0" fillId="0" borderId="5" xfId="0" applyBorder="1"/>
    <xf numFmtId="0" fontId="0" fillId="0" borderId="13" xfId="0" applyBorder="1"/>
    <xf numFmtId="0" fontId="4" fillId="0" borderId="1" xfId="0" applyFont="1" applyBorder="1" applyAlignment="1">
      <alignment horizontal="right"/>
    </xf>
    <xf numFmtId="0" fontId="4" fillId="0" borderId="7" xfId="0" applyFont="1" applyBorder="1"/>
    <xf numFmtId="0" fontId="0" fillId="0" borderId="14" xfId="0" applyBorder="1"/>
    <xf numFmtId="0" fontId="0" fillId="0" borderId="7" xfId="0" applyBorder="1"/>
    <xf numFmtId="0" fontId="0" fillId="0" borderId="15" xfId="0" applyBorder="1"/>
    <xf numFmtId="9" fontId="4" fillId="0" borderId="10" xfId="0" applyNumberFormat="1" applyFont="1" applyBorder="1"/>
    <xf numFmtId="9" fontId="2" fillId="0" borderId="0" xfId="0" applyNumberFormat="1" applyFont="1"/>
    <xf numFmtId="9" fontId="2" fillId="0" borderId="10" xfId="0" applyNumberFormat="1" applyFont="1" applyBorder="1"/>
    <xf numFmtId="10" fontId="0" fillId="0" borderId="10" xfId="0" applyNumberFormat="1" applyBorder="1"/>
    <xf numFmtId="10" fontId="0" fillId="0" borderId="0" xfId="0" applyNumberFormat="1"/>
    <xf numFmtId="0" fontId="4" fillId="2" borderId="0" xfId="0" applyFont="1" applyFill="1"/>
    <xf numFmtId="0" fontId="0" fillId="2" borderId="0" xfId="0" applyFill="1"/>
    <xf numFmtId="0" fontId="0" fillId="2" borderId="11" xfId="0" applyFill="1" applyBorder="1"/>
    <xf numFmtId="0" fontId="0" fillId="2" borderId="10" xfId="0" applyFill="1" applyBorder="1"/>
    <xf numFmtId="9" fontId="0" fillId="0" borderId="10" xfId="1" applyFont="1" applyBorder="1"/>
    <xf numFmtId="0" fontId="2" fillId="2" borderId="10" xfId="0" applyFont="1" applyFill="1" applyBorder="1"/>
    <xf numFmtId="0" fontId="2" fillId="2" borderId="0" xfId="0" applyFont="1" applyFill="1"/>
    <xf numFmtId="0" fontId="2" fillId="2" borderId="11" xfId="0" applyFont="1" applyFill="1" applyBorder="1"/>
    <xf numFmtId="164" fontId="0" fillId="0" borderId="0" xfId="0" applyNumberFormat="1"/>
    <xf numFmtId="0" fontId="3" fillId="2" borderId="10" xfId="0" applyFont="1" applyFill="1" applyBorder="1"/>
    <xf numFmtId="0" fontId="3" fillId="2" borderId="0" xfId="0" applyFont="1" applyFill="1"/>
    <xf numFmtId="0" fontId="3" fillId="2" borderId="11" xfId="0" applyFont="1" applyFill="1" applyBorder="1"/>
    <xf numFmtId="9" fontId="4" fillId="0" borderId="0" xfId="0" applyNumberFormat="1" applyFont="1"/>
    <xf numFmtId="164" fontId="0" fillId="0" borderId="10" xfId="0" applyNumberFormat="1" applyBorder="1"/>
    <xf numFmtId="10" fontId="4" fillId="0" borderId="0" xfId="0" applyNumberFormat="1" applyFont="1"/>
    <xf numFmtId="0" fontId="15" fillId="2" borderId="0" xfId="0" applyFont="1" applyFill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2" borderId="0" xfId="0" applyFont="1" applyFill="1"/>
    <xf numFmtId="0" fontId="0" fillId="0" borderId="0" xfId="0" applyAlignment="1">
      <alignment wrapText="1"/>
    </xf>
    <xf numFmtId="9" fontId="0" fillId="2" borderId="10" xfId="0" applyNumberFormat="1" applyFill="1" applyBorder="1"/>
    <xf numFmtId="164" fontId="4" fillId="0" borderId="0" xfId="0" applyNumberFormat="1" applyFont="1"/>
    <xf numFmtId="1" fontId="4" fillId="0" borderId="0" xfId="0" applyNumberFormat="1" applyFont="1"/>
    <xf numFmtId="0" fontId="0" fillId="0" borderId="8" xfId="0" applyBorder="1"/>
    <xf numFmtId="0" fontId="4" fillId="0" borderId="0" xfId="0" applyFont="1" applyAlignment="1">
      <alignment wrapText="1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/>
    <xf numFmtId="0" fontId="15" fillId="0" borderId="0" xfId="0" applyFont="1" applyFill="1"/>
    <xf numFmtId="0" fontId="5" fillId="0" borderId="0" xfId="0" applyFont="1" applyFill="1"/>
    <xf numFmtId="0" fontId="2" fillId="0" borderId="0" xfId="0" applyFont="1" applyFill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/>
    <xf numFmtId="0" fontId="4" fillId="0" borderId="0" xfId="0" applyFont="1" applyFill="1"/>
    <xf numFmtId="0" fontId="0" fillId="0" borderId="0" xfId="0" applyFill="1"/>
    <xf numFmtId="0" fontId="4" fillId="0" borderId="1" xfId="0" applyFont="1" applyFill="1" applyBorder="1" applyAlignment="1">
      <alignment horizontal="left"/>
    </xf>
    <xf numFmtId="0" fontId="0" fillId="0" borderId="10" xfId="0" applyFill="1" applyBorder="1"/>
    <xf numFmtId="0" fontId="0" fillId="0" borderId="11" xfId="0" applyFill="1" applyBorder="1"/>
    <xf numFmtId="10" fontId="0" fillId="0" borderId="10" xfId="0" applyNumberFormat="1" applyFill="1" applyBorder="1"/>
    <xf numFmtId="9" fontId="4" fillId="0" borderId="0" xfId="0" applyNumberFormat="1" applyFont="1" applyFill="1"/>
    <xf numFmtId="10" fontId="0" fillId="0" borderId="0" xfId="0" applyNumberFormat="1" applyFill="1"/>
  </cellXfs>
  <cellStyles count="3">
    <cellStyle name="Hiperligação" xfId="2" builtinId="8"/>
    <cellStyle name="Normal" xfId="0" builtinId="0"/>
    <cellStyle name="Percentagem" xfId="1" builtinId="5"/>
  </cellStyles>
  <dxfs count="0"/>
  <tableStyles count="0" defaultTableStyle="TableStyleMedium2" defaultPivotStyle="PivotStyleLight16"/>
  <colors>
    <mruColors>
      <color rgb="FFC41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[Tabela_Geral_PI_final.xlsx]Grafico_datacao!Tabela Dinâmica9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Dating on occupation</a:t>
            </a:r>
            <a:r>
              <a:rPr lang="pt-PT" baseline="0"/>
              <a:t> record</a:t>
            </a:r>
            <a:r>
              <a:rPr lang="pt-PT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Grafico_datacao!$C$3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Grafico_datacao!$A$4:$B$11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Aurignacian</c:v>
                  </c:pt>
                  <c:pt idx="2">
                    <c:v>Gravettian</c:v>
                  </c:pt>
                  <c:pt idx="4">
                    <c:v>Mousterian</c:v>
                  </c:pt>
                  <c:pt idx="6">
                    <c:v>Solutrean</c:v>
                  </c:pt>
                </c:lvl>
              </c:multiLvlStrCache>
            </c:multiLvlStrRef>
          </c:cat>
          <c:val>
            <c:numRef>
              <c:f>Grafico_datacao!$C$4:$C$11</c:f>
              <c:numCache>
                <c:formatCode>General</c:formatCode>
                <c:ptCount val="8"/>
                <c:pt idx="0">
                  <c:v>8</c:v>
                </c:pt>
                <c:pt idx="1">
                  <c:v>7</c:v>
                </c:pt>
                <c:pt idx="2">
                  <c:v>18</c:v>
                </c:pt>
                <c:pt idx="3">
                  <c:v>21</c:v>
                </c:pt>
                <c:pt idx="4">
                  <c:v>37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9-43BE-8066-A8366E7502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0944159"/>
        <c:axId val="1467059631"/>
      </c:barChart>
      <c:catAx>
        <c:axId val="145094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67059631"/>
        <c:crosses val="autoZero"/>
        <c:auto val="1"/>
        <c:lblAlgn val="ctr"/>
        <c:lblOffset val="100"/>
        <c:noMultiLvlLbl val="0"/>
      </c:catAx>
      <c:valAx>
        <c:axId val="1467059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5094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[Tabela_Geral_PI_final.xlsx]Nº_Ocupacoes!Tabela Dinâmica20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Nº_Ocupacoes!$B$1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D5-4877-A1F8-E59230C4A4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D5-4877-A1F8-E59230C4A4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D5-4877-A1F8-E59230C4A4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D5-4877-A1F8-E59230C4A4C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Nº_Ocupacoes!$A$2:$A$5</c:f>
              <c:strCache>
                <c:ptCount val="4"/>
                <c:pt idx="0">
                  <c:v>Aurinhacense</c:v>
                </c:pt>
                <c:pt idx="1">
                  <c:v>Gravetense</c:v>
                </c:pt>
                <c:pt idx="2">
                  <c:v>Moustierense</c:v>
                </c:pt>
                <c:pt idx="3">
                  <c:v>Solutrense</c:v>
                </c:pt>
              </c:strCache>
            </c:strRef>
          </c:cat>
          <c:val>
            <c:numRef>
              <c:f>Nº_Ocupacoes!$B$2:$B$5</c:f>
              <c:numCache>
                <c:formatCode>General</c:formatCode>
                <c:ptCount val="4"/>
                <c:pt idx="0">
                  <c:v>15</c:v>
                </c:pt>
                <c:pt idx="1">
                  <c:v>39</c:v>
                </c:pt>
                <c:pt idx="2">
                  <c:v>68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0-48B0-BBB1-14DEF336E25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[Tabela_Geral_PI_final.xlsx]Tipo_Sitio!Tabela Dinâmica10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Site</a:t>
            </a:r>
            <a:r>
              <a:rPr lang="pt-PT" baseline="0"/>
              <a:t> Type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Tipo_Sitio!$B$1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Tipo_Sitio!$A$2:$A$4</c:f>
              <c:strCache>
                <c:ptCount val="3"/>
                <c:pt idx="0">
                  <c:v>Rockshelter</c:v>
                </c:pt>
                <c:pt idx="1">
                  <c:v>Open-air</c:v>
                </c:pt>
                <c:pt idx="2">
                  <c:v>cave</c:v>
                </c:pt>
              </c:strCache>
            </c:strRef>
          </c:cat>
          <c:val>
            <c:numRef>
              <c:f>Tipo_Sitio!$B$2:$B$4</c:f>
              <c:numCache>
                <c:formatCode>General</c:formatCode>
                <c:ptCount val="3"/>
                <c:pt idx="0">
                  <c:v>24</c:v>
                </c:pt>
                <c:pt idx="1">
                  <c:v>61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F-45C6-B392-A7CABCF31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4348224"/>
        <c:axId val="833660240"/>
      </c:barChart>
      <c:catAx>
        <c:axId val="80434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3660240"/>
        <c:crosses val="autoZero"/>
        <c:auto val="1"/>
        <c:lblAlgn val="ctr"/>
        <c:lblOffset val="100"/>
        <c:noMultiLvlLbl val="0"/>
      </c:catAx>
      <c:valAx>
        <c:axId val="8336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434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[Tabela_Geral_PI_final.xlsx]Contagem_sitios_alt!Tabela Dinâmica13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Contagem de  Sitio por Altitude_Reclass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Contagem_sitios_alt!$B$3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Contagem_sitios_alt!$A$4:$A$22</c:f>
              <c:strCache>
                <c:ptCount val="19"/>
                <c:pt idx="0">
                  <c:v>&lt;50</c:v>
                </c:pt>
                <c:pt idx="1">
                  <c:v>&lt;50 </c:v>
                </c:pt>
                <c:pt idx="2">
                  <c:v>&gt;850</c:v>
                </c:pt>
                <c:pt idx="3">
                  <c:v>101-150</c:v>
                </c:pt>
                <c:pt idx="4">
                  <c:v>151-200</c:v>
                </c:pt>
                <c:pt idx="5">
                  <c:v>201-250</c:v>
                </c:pt>
                <c:pt idx="6">
                  <c:v>251-300</c:v>
                </c:pt>
                <c:pt idx="7">
                  <c:v>301-350</c:v>
                </c:pt>
                <c:pt idx="8">
                  <c:v>351-400</c:v>
                </c:pt>
                <c:pt idx="9">
                  <c:v>401-450</c:v>
                </c:pt>
                <c:pt idx="10">
                  <c:v>451-500</c:v>
                </c:pt>
                <c:pt idx="11">
                  <c:v>501-550</c:v>
                </c:pt>
                <c:pt idx="12">
                  <c:v>51-100</c:v>
                </c:pt>
                <c:pt idx="13">
                  <c:v>551-600</c:v>
                </c:pt>
                <c:pt idx="14">
                  <c:v>601-650</c:v>
                </c:pt>
                <c:pt idx="15">
                  <c:v>651-700</c:v>
                </c:pt>
                <c:pt idx="16">
                  <c:v>701-750</c:v>
                </c:pt>
                <c:pt idx="17">
                  <c:v>751-800</c:v>
                </c:pt>
                <c:pt idx="18">
                  <c:v>801-850</c:v>
                </c:pt>
              </c:strCache>
            </c:strRef>
          </c:cat>
          <c:val>
            <c:numRef>
              <c:f>Contagem_sitios_alt!$B$4:$B$22</c:f>
              <c:numCache>
                <c:formatCode>General</c:formatCode>
                <c:ptCount val="19"/>
                <c:pt idx="0">
                  <c:v>36</c:v>
                </c:pt>
                <c:pt idx="1">
                  <c:v>1</c:v>
                </c:pt>
                <c:pt idx="2">
                  <c:v>13</c:v>
                </c:pt>
                <c:pt idx="3">
                  <c:v>28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9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35</c:v>
                </c:pt>
                <c:pt idx="13">
                  <c:v>6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2-4E44-8207-DECEC3AEC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974160"/>
        <c:axId val="750947760"/>
      </c:barChart>
      <c:catAx>
        <c:axId val="75097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0947760"/>
        <c:crosses val="autoZero"/>
        <c:auto val="1"/>
        <c:lblAlgn val="ctr"/>
        <c:lblOffset val="100"/>
        <c:noMultiLvlLbl val="0"/>
      </c:catAx>
      <c:valAx>
        <c:axId val="75094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09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[Tabela_Geral_PI_final.xlsx]dataçao_altitude!Tabela Dinâmica39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Contagem de  Sitio por Altitude_Reclass e Datacao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dataçao_altitude!$B$1:$B$2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dataçao_altitude!$A$3:$A$21</c:f>
              <c:strCache>
                <c:ptCount val="19"/>
                <c:pt idx="0">
                  <c:v>&lt;50</c:v>
                </c:pt>
                <c:pt idx="1">
                  <c:v>&lt;50 </c:v>
                </c:pt>
                <c:pt idx="2">
                  <c:v>&gt;850</c:v>
                </c:pt>
                <c:pt idx="3">
                  <c:v>101-150</c:v>
                </c:pt>
                <c:pt idx="4">
                  <c:v>151-200</c:v>
                </c:pt>
                <c:pt idx="5">
                  <c:v>201-250</c:v>
                </c:pt>
                <c:pt idx="6">
                  <c:v>251-300</c:v>
                </c:pt>
                <c:pt idx="7">
                  <c:v>301-350</c:v>
                </c:pt>
                <c:pt idx="8">
                  <c:v>351-400</c:v>
                </c:pt>
                <c:pt idx="9">
                  <c:v>401-450</c:v>
                </c:pt>
                <c:pt idx="10">
                  <c:v>451-500</c:v>
                </c:pt>
                <c:pt idx="11">
                  <c:v>501-550</c:v>
                </c:pt>
                <c:pt idx="12">
                  <c:v>51-100</c:v>
                </c:pt>
                <c:pt idx="13">
                  <c:v>551-600</c:v>
                </c:pt>
                <c:pt idx="14">
                  <c:v>601-650</c:v>
                </c:pt>
                <c:pt idx="15">
                  <c:v>651-700</c:v>
                </c:pt>
                <c:pt idx="16">
                  <c:v>701-750</c:v>
                </c:pt>
                <c:pt idx="17">
                  <c:v>751-800</c:v>
                </c:pt>
                <c:pt idx="18">
                  <c:v>801-850</c:v>
                </c:pt>
              </c:strCache>
            </c:strRef>
          </c:cat>
          <c:val>
            <c:numRef>
              <c:f>dataçao_altitude!$B$3:$B$21</c:f>
              <c:numCache>
                <c:formatCode>General</c:formatCode>
                <c:ptCount val="19"/>
                <c:pt idx="0">
                  <c:v>18</c:v>
                </c:pt>
                <c:pt idx="1">
                  <c:v>1</c:v>
                </c:pt>
                <c:pt idx="2">
                  <c:v>7</c:v>
                </c:pt>
                <c:pt idx="3">
                  <c:v>15</c:v>
                </c:pt>
                <c:pt idx="5">
                  <c:v>3</c:v>
                </c:pt>
                <c:pt idx="6">
                  <c:v>7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24</c:v>
                </c:pt>
                <c:pt idx="13">
                  <c:v>4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0-416D-B05A-C6C770341213}"/>
            </c:ext>
          </c:extLst>
        </c:ser>
        <c:ser>
          <c:idx val="1"/>
          <c:order val="1"/>
          <c:tx>
            <c:strRef>
              <c:f>dataçao_altitude!$C$1:$C$2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dataçao_altitude!$A$3:$A$21</c:f>
              <c:strCache>
                <c:ptCount val="19"/>
                <c:pt idx="0">
                  <c:v>&lt;50</c:v>
                </c:pt>
                <c:pt idx="1">
                  <c:v>&lt;50 </c:v>
                </c:pt>
                <c:pt idx="2">
                  <c:v>&gt;850</c:v>
                </c:pt>
                <c:pt idx="3">
                  <c:v>101-150</c:v>
                </c:pt>
                <c:pt idx="4">
                  <c:v>151-200</c:v>
                </c:pt>
                <c:pt idx="5">
                  <c:v>201-250</c:v>
                </c:pt>
                <c:pt idx="6">
                  <c:v>251-300</c:v>
                </c:pt>
                <c:pt idx="7">
                  <c:v>301-350</c:v>
                </c:pt>
                <c:pt idx="8">
                  <c:v>351-400</c:v>
                </c:pt>
                <c:pt idx="9">
                  <c:v>401-450</c:v>
                </c:pt>
                <c:pt idx="10">
                  <c:v>451-500</c:v>
                </c:pt>
                <c:pt idx="11">
                  <c:v>501-550</c:v>
                </c:pt>
                <c:pt idx="12">
                  <c:v>51-100</c:v>
                </c:pt>
                <c:pt idx="13">
                  <c:v>551-600</c:v>
                </c:pt>
                <c:pt idx="14">
                  <c:v>601-650</c:v>
                </c:pt>
                <c:pt idx="15">
                  <c:v>651-700</c:v>
                </c:pt>
                <c:pt idx="16">
                  <c:v>701-750</c:v>
                </c:pt>
                <c:pt idx="17">
                  <c:v>751-800</c:v>
                </c:pt>
                <c:pt idx="18">
                  <c:v>801-850</c:v>
                </c:pt>
              </c:strCache>
            </c:strRef>
          </c:cat>
          <c:val>
            <c:numRef>
              <c:f>dataçao_altitude!$C$3:$C$21</c:f>
              <c:numCache>
                <c:formatCode>General</c:formatCode>
                <c:ptCount val="19"/>
                <c:pt idx="0">
                  <c:v>18</c:v>
                </c:pt>
                <c:pt idx="2">
                  <c:v>6</c:v>
                </c:pt>
                <c:pt idx="3">
                  <c:v>13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11</c:v>
                </c:pt>
                <c:pt idx="13">
                  <c:v>2</c:v>
                </c:pt>
                <c:pt idx="15">
                  <c:v>3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0-416D-B05A-C6C770341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686960"/>
        <c:axId val="713773936"/>
      </c:barChart>
      <c:catAx>
        <c:axId val="7106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3773936"/>
        <c:crosses val="autoZero"/>
        <c:auto val="1"/>
        <c:lblAlgn val="ctr"/>
        <c:lblOffset val="100"/>
        <c:noMultiLvlLbl val="0"/>
      </c:catAx>
      <c:valAx>
        <c:axId val="7137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068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2777776</xdr:colOff>
      <xdr:row>30</xdr:row>
      <xdr:rowOff>0</xdr:rowOff>
    </xdr:from>
    <xdr:to>
      <xdr:col>6</xdr:col>
      <xdr:colOff>2712</xdr:colOff>
      <xdr:row>30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31C7C298-DCC6-4696-AF7E-0055B6BC9AF4}"/>
                </a:ext>
              </a:extLst>
            </xdr14:cNvPr>
            <xdr14:cNvContentPartPr/>
          </xdr14:nvContentPartPr>
          <xdr14:nvPr macro=""/>
          <xdr14:xfrm>
            <a:off x="10559571" y="31594675"/>
            <a:ext cx="7560" cy="75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EF6BE5DA-1C4B-4853-9CCF-003DB8D04F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0931" y="31585675"/>
              <a:ext cx="25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1405108</xdr:colOff>
      <xdr:row>30</xdr:row>
      <xdr:rowOff>0</xdr:rowOff>
    </xdr:from>
    <xdr:to>
      <xdr:col>2</xdr:col>
      <xdr:colOff>19754</xdr:colOff>
      <xdr:row>30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2058DD63-BCE4-4722-AEA0-ED2298209FB9}"/>
                </a:ext>
              </a:extLst>
            </xdr14:cNvPr>
            <xdr14:cNvContentPartPr/>
          </xdr14:nvContentPartPr>
          <xdr14:nvPr macro=""/>
          <xdr14:xfrm>
            <a:off x="4246043" y="43968277"/>
            <a:ext cx="360" cy="36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3B32E95B-8CD7-486F-ABC5-28E12D5979B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237043" y="4395927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2</xdr:row>
      <xdr:rowOff>152400</xdr:rowOff>
    </xdr:from>
    <xdr:to>
      <xdr:col>14</xdr:col>
      <xdr:colOff>53340</xdr:colOff>
      <xdr:row>17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071D8C-3C75-E6BB-AB34-89723FA54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2</xdr:row>
      <xdr:rowOff>110490</xdr:rowOff>
    </xdr:from>
    <xdr:to>
      <xdr:col>14</xdr:col>
      <xdr:colOff>30480</xdr:colOff>
      <xdr:row>17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02D15D-F3D2-7D58-ED5E-13A82F812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5</xdr:row>
      <xdr:rowOff>80010</xdr:rowOff>
    </xdr:from>
    <xdr:to>
      <xdr:col>11</xdr:col>
      <xdr:colOff>586740</xdr:colOff>
      <xdr:row>20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0D3A85-3158-D377-7549-FA3F584D0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5</xdr:row>
      <xdr:rowOff>80010</xdr:rowOff>
    </xdr:from>
    <xdr:to>
      <xdr:col>13</xdr:col>
      <xdr:colOff>342900</xdr:colOff>
      <xdr:row>20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FEAB88-87FE-38E2-3085-4F1543E12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5</xdr:row>
      <xdr:rowOff>80010</xdr:rowOff>
    </xdr:from>
    <xdr:to>
      <xdr:col>12</xdr:col>
      <xdr:colOff>60960</xdr:colOff>
      <xdr:row>20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10029A-E32E-72C0-ECD6-BEDB42416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2T21:50:27.1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0 6531,'0'0'1633,"-20"20"-4114,33-20-641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2T22:00:26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5779,'0'0'576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310.512581365743" createdVersion="8" refreshedVersion="8" minRefreshableVersion="3" recordCount="183" xr:uid="{03F116D6-2B3D-4E91-9FBF-B54665FA7CD4}">
  <cacheSource type="worksheet">
    <worksheetSource ref="A1:T195" sheet="tabela_geral"/>
  </cacheSource>
  <cacheFields count="19">
    <cacheField name="ID" numFmtId="0">
      <sharedItems containsSemiMixedTypes="0" containsString="0" containsNumber="1" containsInteger="1" minValue="1" maxValue="188"/>
    </cacheField>
    <cacheField name=" Sitio" numFmtId="0">
      <sharedItems/>
    </cacheField>
    <cacheField name="Tipo" numFmtId="0">
      <sharedItems count="3">
        <s v="Abrigo"/>
        <s v="Gruta "/>
        <s v="Ar livre"/>
      </sharedItems>
    </cacheField>
    <cacheField name="Latitude" numFmtId="0">
      <sharedItems containsMixedTypes="1" containsNumber="1" minValue="34.444099999999999" maxValue="40.282223999999999"/>
    </cacheField>
    <cacheField name="Longitude" numFmtId="0">
      <sharedItems containsMixedTypes="1" containsNumber="1" minValue="-8495728" maxValue="5.81"/>
    </cacheField>
    <cacheField name="Contexto (camadas)" numFmtId="0">
      <sharedItems containsBlank="1" containsMixedTypes="1" containsNumber="1" containsInteger="1" minValue="2" maxValue="5"/>
    </cacheField>
    <cacheField name="Cronologia " numFmtId="0">
      <sharedItems/>
    </cacheField>
    <cacheField name="Datacao " numFmtId="0">
      <sharedItems/>
    </cacheField>
    <cacheField name="Intervalo cronologico" numFmtId="0">
      <sharedItems containsBlank="1"/>
    </cacheField>
    <cacheField name="Materia_prima " numFmtId="0">
      <sharedItems/>
    </cacheField>
    <cacheField name="Retocados " numFmtId="0">
      <sharedItems/>
    </cacheField>
    <cacheField name="Fauna " numFmtId="0">
      <sharedItems/>
    </cacheField>
    <cacheField name="Bibliografia" numFmtId="0">
      <sharedItems/>
    </cacheField>
    <cacheField name="Observacoes (em caso de encontrar mais informacao)" numFmtId="0">
      <sharedItems containsBlank="1"/>
    </cacheField>
    <cacheField name="silex" numFmtId="0">
      <sharedItems containsNonDate="0" containsString="0" containsBlank="1"/>
    </cacheField>
    <cacheField name="quartzo" numFmtId="0">
      <sharedItems containsNonDate="0" containsString="0" containsBlank="1"/>
    </cacheField>
    <cacheField name="quartzito" numFmtId="0">
      <sharedItems containsNonDate="0" containsString="0" containsBlank="1"/>
    </cacheField>
    <cacheField name="outros" numFmtId="0">
      <sharedItems containsNonDate="0" containsString="0" containsBlank="1"/>
    </cacheField>
    <cacheField name="observaço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310.650105555556" createdVersion="8" refreshedVersion="8" minRefreshableVersion="3" recordCount="183" xr:uid="{AD1001AA-CE46-416A-861B-6CF93B7B5BD5}">
  <cacheSource type="worksheet">
    <worksheetSource ref="A1:T195" sheet="tabela_geral"/>
  </cacheSource>
  <cacheFields count="19">
    <cacheField name="ID" numFmtId="0">
      <sharedItems containsSemiMixedTypes="0" containsString="0" containsNumber="1" containsInteger="1" minValue="1" maxValue="188"/>
    </cacheField>
    <cacheField name=" Sitio" numFmtId="0">
      <sharedItems/>
    </cacheField>
    <cacheField name="Tipo" numFmtId="0">
      <sharedItems/>
    </cacheField>
    <cacheField name="Latitude" numFmtId="0">
      <sharedItems containsMixedTypes="1" containsNumber="1" minValue="34.444099999999999" maxValue="40.282223999999999"/>
    </cacheField>
    <cacheField name="Longitude" numFmtId="0">
      <sharedItems containsMixedTypes="1" containsNumber="1" minValue="-8495728" maxValue="5.81"/>
    </cacheField>
    <cacheField name="Contexto (camadas)" numFmtId="0">
      <sharedItems containsBlank="1" containsMixedTypes="1" containsNumber="1" containsInteger="1" minValue="2" maxValue="5"/>
    </cacheField>
    <cacheField name="Cronologia " numFmtId="0">
      <sharedItems count="4">
        <s v="Moustierense"/>
        <s v="Solutrense"/>
        <s v="Gravetense"/>
        <s v="Aurinhacense"/>
      </sharedItems>
    </cacheField>
    <cacheField name="Datacao " numFmtId="0">
      <sharedItems/>
    </cacheField>
    <cacheField name="Intervalo cronologico" numFmtId="0">
      <sharedItems containsBlank="1"/>
    </cacheField>
    <cacheField name="Materia_prima " numFmtId="0">
      <sharedItems/>
    </cacheField>
    <cacheField name="Retocados " numFmtId="0">
      <sharedItems/>
    </cacheField>
    <cacheField name="Fauna " numFmtId="0">
      <sharedItems/>
    </cacheField>
    <cacheField name="Bibliografia" numFmtId="0">
      <sharedItems/>
    </cacheField>
    <cacheField name="Observacoes (em caso de encontrar mais informacao)" numFmtId="0">
      <sharedItems containsBlank="1"/>
    </cacheField>
    <cacheField name="silex" numFmtId="0">
      <sharedItems containsNonDate="0" containsString="0" containsBlank="1"/>
    </cacheField>
    <cacheField name="quartzo" numFmtId="0">
      <sharedItems containsNonDate="0" containsString="0" containsBlank="1"/>
    </cacheField>
    <cacheField name="quartzito" numFmtId="0">
      <sharedItems containsNonDate="0" containsString="0" containsBlank="1"/>
    </cacheField>
    <cacheField name="outros" numFmtId="0">
      <sharedItems containsNonDate="0" containsString="0" containsBlank="1"/>
    </cacheField>
    <cacheField name="observaço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314.955572800929" createdVersion="8" refreshedVersion="8" minRefreshableVersion="3" recordCount="183" xr:uid="{CC5062C8-50FF-4C5C-A016-EA66E21618A4}">
  <cacheSource type="worksheet">
    <worksheetSource ref="A1:T195" sheet="tabela_geral"/>
  </cacheSource>
  <cacheFields count="19">
    <cacheField name="ID" numFmtId="0">
      <sharedItems containsSemiMixedTypes="0" containsString="0" containsNumber="1" containsInteger="1" minValue="1" maxValue="188"/>
    </cacheField>
    <cacheField name=" Sitio" numFmtId="0">
      <sharedItems/>
    </cacheField>
    <cacheField name="Tipo" numFmtId="0">
      <sharedItems/>
    </cacheField>
    <cacheField name="Latitude" numFmtId="0">
      <sharedItems containsMixedTypes="1" containsNumber="1" minValue="34.444099999999999" maxValue="40.282223999999999"/>
    </cacheField>
    <cacheField name="Longitude" numFmtId="0">
      <sharedItems containsMixedTypes="1" containsNumber="1" minValue="-8495728" maxValue="5.81"/>
    </cacheField>
    <cacheField name="Contexto (camadas)" numFmtId="0">
      <sharedItems containsBlank="1" containsMixedTypes="1" containsNumber="1" containsInteger="1" minValue="2" maxValue="5"/>
    </cacheField>
    <cacheField name="Cronologia " numFmtId="0">
      <sharedItems count="4">
        <s v="Moustierense"/>
        <s v="Solutrense"/>
        <s v="Gravetense"/>
        <s v="Aurinhacense"/>
      </sharedItems>
    </cacheField>
    <cacheField name="Datacao " numFmtId="0">
      <sharedItems count="2">
        <s v="não"/>
        <s v="sim"/>
      </sharedItems>
    </cacheField>
    <cacheField name="Intervalo cronologico" numFmtId="0">
      <sharedItems containsBlank="1"/>
    </cacheField>
    <cacheField name="Materia_prima " numFmtId="0">
      <sharedItems/>
    </cacheField>
    <cacheField name="Retocados " numFmtId="0">
      <sharedItems/>
    </cacheField>
    <cacheField name="Fauna " numFmtId="0">
      <sharedItems/>
    </cacheField>
    <cacheField name="Bibliografia" numFmtId="0">
      <sharedItems/>
    </cacheField>
    <cacheField name="Observacoes (em caso de encontrar mais informacao)" numFmtId="0">
      <sharedItems containsBlank="1"/>
    </cacheField>
    <cacheField name="silex" numFmtId="0">
      <sharedItems containsNonDate="0" containsString="0" containsBlank="1"/>
    </cacheField>
    <cacheField name="quartzo" numFmtId="0">
      <sharedItems containsNonDate="0" containsString="0" containsBlank="1"/>
    </cacheField>
    <cacheField name="quartzito" numFmtId="0">
      <sharedItems containsNonDate="0" containsString="0" containsBlank="1"/>
    </cacheField>
    <cacheField name="outros" numFmtId="0">
      <sharedItems containsNonDate="0" containsString="0" containsBlank="1"/>
    </cacheField>
    <cacheField name="observaço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412.96845104167" createdVersion="8" refreshedVersion="8" minRefreshableVersion="3" recordCount="185" xr:uid="{3F6D707A-ADA7-4C5E-A695-CAABF8911213}">
  <cacheSource type="worksheet">
    <worksheetSource ref="A1:D186" sheet="altitude_cronologia"/>
  </cacheSource>
  <cacheFields count="4">
    <cacheField name=" Sitio" numFmtId="0">
      <sharedItems/>
    </cacheField>
    <cacheField name="Cronologia " numFmtId="0">
      <sharedItems/>
    </cacheField>
    <cacheField name="Datacao " numFmtId="0">
      <sharedItems count="2">
        <s v="não"/>
        <s v="sim"/>
      </sharedItems>
    </cacheField>
    <cacheField name="Altitude_Reclass" numFmtId="0">
      <sharedItems count="19">
        <s v="251-300"/>
        <s v="51-100"/>
        <s v="101-150"/>
        <s v="&lt;50 "/>
        <s v="201-250"/>
        <s v="&lt;50"/>
        <s v="151-200"/>
        <s v="351-400"/>
        <s v="451-500"/>
        <s v="301-350"/>
        <s v="501-550"/>
        <s v="551-600"/>
        <s v="401-450"/>
        <s v="801-850"/>
        <s v="&gt;850"/>
        <s v="751-800"/>
        <s v="651-700"/>
        <s v="701-750"/>
        <s v="601-6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413.834809259257" createdVersion="8" refreshedVersion="8" minRefreshableVersion="3" recordCount="185" xr:uid="{15A0A54C-0200-4256-97D0-99381B6423A6}">
  <cacheSource type="worksheet">
    <worksheetSource ref="A1:D186" sheet="altitude_cronologia"/>
  </cacheSource>
  <cacheFields count="4">
    <cacheField name=" Sitio" numFmtId="0">
      <sharedItems/>
    </cacheField>
    <cacheField name="Cronologia " numFmtId="0">
      <sharedItems/>
    </cacheField>
    <cacheField name="Datacao " numFmtId="0">
      <sharedItems/>
    </cacheField>
    <cacheField name="Altitude_Reclass" numFmtId="0">
      <sharedItems count="19">
        <s v="251-300"/>
        <s v="51-100"/>
        <s v="101-150"/>
        <s v="&lt;50 "/>
        <s v="201-250"/>
        <s v="&lt;50"/>
        <s v="151-200"/>
        <s v="351-400"/>
        <s v="451-500"/>
        <s v="301-350"/>
        <s v="501-550"/>
        <s v="551-600"/>
        <s v="401-450"/>
        <s v="801-850"/>
        <s v="&gt;850"/>
        <s v="751-800"/>
        <s v="651-700"/>
        <s v="701-750"/>
        <s v="601-6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1"/>
    <s v="Abrigo 1 de Vale Covoes"/>
    <x v="0"/>
    <n v="40.048194000000002"/>
    <n v="-8.4987270000000006"/>
    <s v="UE8b"/>
    <s v="Moustierense"/>
    <s v="nao"/>
    <s v="N/A"/>
    <s v="quartzo, quartzito, silex"/>
    <s v="sim"/>
    <s v="sim"/>
    <s v="Cascalheira et al. 2021; Portal do Arqueologo, 2021; Pereira et al.2012"/>
    <m/>
    <m/>
    <m/>
    <m/>
    <m/>
    <m/>
  </r>
  <r>
    <n v="2"/>
    <s v="Almonda"/>
    <x v="1"/>
    <n v="39.504762999999997"/>
    <n v="-8.6155200000000001"/>
    <s v="2;4"/>
    <s v="Solutrense"/>
    <s v="nao"/>
    <s v="N/A"/>
    <s v="silex, quartzo, quartzito, basalto"/>
    <s v="sim"/>
    <s v="sim"/>
    <s v="Cascalheira e Bicho. 2018;Portal do Arqueologo,2021; Zilhao, 1997"/>
    <s v="Camada 3- restos humanos dentes e fragmento de maxila"/>
    <m/>
    <m/>
    <m/>
    <m/>
    <m/>
  </r>
  <r>
    <n v="3"/>
    <s v="Azinhal"/>
    <x v="2"/>
    <n v="39.608369000000003"/>
    <n v="-7.6962770000000003"/>
    <s v=" L3"/>
    <s v="Moustierense"/>
    <s v="sim"/>
    <m/>
    <s v="quartzito"/>
    <s v="sim"/>
    <s v="nao"/>
    <s v="Cascalheira et al. 2021;Vermeersh, 2020; Almeida et al., 2008"/>
    <m/>
    <m/>
    <m/>
    <m/>
    <m/>
    <m/>
  </r>
  <r>
    <n v="4"/>
    <s v="Arneiro Cortico"/>
    <x v="2"/>
    <n v="38.887484000000001"/>
    <n v="-8.7941029999999998"/>
    <s v="superfice -terraco Q4"/>
    <s v="Moustierense"/>
    <s v="nao"/>
    <s v="N/A"/>
    <s v="quartzito"/>
    <s v="sim"/>
    <s v="nao"/>
    <s v="Cascalheira et al. 2021;Portal do Arqueologo,2021; Cardoso, 2006"/>
    <m/>
    <m/>
    <m/>
    <m/>
    <m/>
    <m/>
  </r>
  <r>
    <n v="5"/>
    <s v="Baio"/>
    <x v="2"/>
    <n v="39.083241000000001"/>
    <n v="-9.413157"/>
    <s v="superficie"/>
    <s v="Solutrense"/>
    <s v="nao"/>
    <s v="N/A"/>
    <s v="silex,  quartzo"/>
    <s v="sim"/>
    <s v="nao"/>
    <s v="Cascalheira e Bicho. 2018; Portal do Arqueologo, 2021; Zilhao, 1997"/>
    <m/>
    <m/>
    <m/>
    <m/>
    <m/>
    <m/>
  </r>
  <r>
    <n v="6"/>
    <s v="Buraca Escura"/>
    <x v="1"/>
    <n v="39.979855999999998"/>
    <n v="-8.5518380000000001"/>
    <s v="2e; 2a; 2b"/>
    <s v="Gravetense"/>
    <s v="sim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7"/>
    <s v="Buraca Escura"/>
    <x v="1"/>
    <n v="39.979855999999998"/>
    <n v="-8.5518380000000001"/>
    <s v=" C2f"/>
    <s v="Moustierense"/>
    <s v="sim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8"/>
    <s v="Buraca Grande"/>
    <x v="1"/>
    <n v="39.980927000000001"/>
    <n v="-8.5496440000000007"/>
    <m/>
    <s v="Moustierense "/>
    <s v="nao"/>
    <s v="N/A"/>
    <s v="quartzo, quartzito"/>
    <s v="sim"/>
    <s v="sim"/>
    <s v="Schmidt et al.2012; Cascalheira et al. 2021; Vermeersh. 2021"/>
    <m/>
    <m/>
    <m/>
    <m/>
    <m/>
    <m/>
  </r>
  <r>
    <n v="9"/>
    <s v="Buraca Grande"/>
    <x v="1"/>
    <n v="39.980927000000001"/>
    <n v="-8.5496440000000007"/>
    <s v="C9b"/>
    <s v="Gravetense"/>
    <s v="sim"/>
    <m/>
    <s v="quartzo, quartzito"/>
    <s v="sim"/>
    <s v="sim "/>
    <s v="Schmidt et al.2012; Cascalheira et al. 2021;Vermeersh.2021; Aubry e Moura, 1995"/>
    <m/>
    <m/>
    <m/>
    <m/>
    <m/>
    <m/>
  </r>
  <r>
    <n v="10"/>
    <s v="Buraca Grande"/>
    <x v="1"/>
    <n v="39.980927000000001"/>
    <n v="-8.5496440000000007"/>
    <s v="C9b"/>
    <s v="Solutrense"/>
    <s v="sim"/>
    <m/>
    <s v="silex,quartzito, quartzo "/>
    <s v="sim"/>
    <s v="sim"/>
    <s v="Schmidt et al.2012; Cascalheira et al. 2021;Vermeersh.2021; Aubry e Moura, 1995"/>
    <m/>
    <m/>
    <m/>
    <m/>
    <m/>
    <m/>
  </r>
  <r>
    <n v="11"/>
    <s v="Casal do Cepo"/>
    <x v="2"/>
    <n v="39.426144000000001"/>
    <n v="-8.5644170000000006"/>
    <s v="L/10-11; O-P/17-18"/>
    <s v="Solutrense"/>
    <s v="nao"/>
    <s v="N/A"/>
    <s v="silex, quartzo"/>
    <s v="sim"/>
    <s v="nao"/>
    <s v="Cascalheira et al. 2018;Portal do Arqueologo, 2021; Zilhao, 1997"/>
    <m/>
    <m/>
    <m/>
    <m/>
    <m/>
    <m/>
  </r>
  <r>
    <n v="12"/>
    <s v="Chainca"/>
    <x v="2"/>
    <n v="39.417422000000002"/>
    <n v="-8.8554720000000007"/>
    <s v="superficie"/>
    <s v="Aurinhacense"/>
    <s v="nao"/>
    <s v="N/A"/>
    <s v="silex, quartzo, quartzito"/>
    <s v="sim"/>
    <s v="nao"/>
    <s v="Cascalheira et al. 2018; Portal do Arqueologo,2021; Thacker, 2001"/>
    <m/>
    <m/>
    <m/>
    <m/>
    <m/>
    <m/>
  </r>
  <r>
    <n v="13"/>
    <s v="Cobrinhos"/>
    <x v="2"/>
    <n v="39.670535999999998"/>
    <n v="-7.6781470000000001"/>
    <s v=" 1; 2"/>
    <s v="Moustierense"/>
    <s v="nao"/>
    <s v="N/A"/>
    <s v="quartzito, quartzo "/>
    <s v="sim"/>
    <s v="nao"/>
    <s v="Cascalheira et al. 2021, Pereira et al. 2019"/>
    <m/>
    <m/>
    <m/>
    <m/>
    <m/>
    <m/>
  </r>
  <r>
    <n v="14"/>
    <s v="Chacafre II"/>
    <x v="2"/>
    <n v="37.954926"/>
    <n v="-8.2047740000000005"/>
    <s v="sondagem diagnostico"/>
    <s v="Moustierense"/>
    <s v="nao"/>
    <s v="N/A"/>
    <s v="jaspe, quartzito, silex"/>
    <s v="não"/>
    <s v="nao"/>
    <s v="Cascalheira et al. 2021; Portal do Arqueologo, 2021; Burke et al. 2011"/>
    <m/>
    <m/>
    <m/>
    <m/>
    <m/>
    <m/>
  </r>
  <r>
    <n v="15"/>
    <s v="Conceicao"/>
    <x v="2"/>
    <n v="38.727525"/>
    <n v="-8.9881510000000002"/>
    <s v="C;D"/>
    <s v="Moustierense"/>
    <s v="sim"/>
    <m/>
    <s v="quartzo, quartzito"/>
    <s v="não"/>
    <s v="nao"/>
    <s v="Cascalheira et al. 2021; Vermeesh.2020; Raposo e Cardoso, 1998"/>
    <m/>
    <m/>
    <m/>
    <m/>
    <m/>
    <m/>
  </r>
  <r>
    <n v="16"/>
    <s v="CPM (Cabeco de Porto Marinho)"/>
    <x v="2"/>
    <n v="39.359681000000002"/>
    <n v="-8.9387860000000003"/>
    <s v="CPM IIID/F; CPM II"/>
    <s v="Gravetense"/>
    <s v="sim"/>
    <m/>
    <s v="silex, quartzo, quartzito"/>
    <s v="sim"/>
    <s v="nao"/>
    <s v="Cascalheira et al. 2018; Portal do Arqueologo,2021; Zilhao,1997"/>
    <m/>
    <m/>
    <m/>
    <m/>
    <m/>
    <m/>
  </r>
  <r>
    <n v="18"/>
    <s v="Cova da Moura"/>
    <x v="2"/>
    <n v="39.074807"/>
    <n v="-9.3977400000000006"/>
    <s v="25-50 cm"/>
    <s v="Gravetense"/>
    <s v="nao"/>
    <s v="N/A"/>
    <s v="silex, quartzo"/>
    <s v="sim"/>
    <s v="nao"/>
    <s v="Schmidt et al. 2012; Vermeersch. 2020; Zilhão. 1997"/>
    <m/>
    <m/>
    <m/>
    <m/>
    <m/>
    <m/>
  </r>
  <r>
    <n v="20"/>
    <s v="Curva do Belixe"/>
    <x v="2"/>
    <n v="37.025652999999998"/>
    <n v="-8.9860489999999995"/>
    <s v="superficie"/>
    <s v="Moustierense"/>
    <s v="nao"/>
    <s v="N/A"/>
    <s v="silex"/>
    <s v="não"/>
    <s v="nao"/>
    <s v="Cascalheira et al. 2021"/>
    <m/>
    <m/>
    <m/>
    <m/>
    <m/>
    <m/>
  </r>
  <r>
    <n v="21"/>
    <s v="Casal do Flipe"/>
    <x v="2"/>
    <n v="39.352609999999999"/>
    <n v="-8.9954339999999995"/>
    <s v=" N/A"/>
    <s v="Gravetense"/>
    <s v="nao"/>
    <s v="N/A"/>
    <s v="silex, quartzo, quartzito"/>
    <s v="sim"/>
    <s v="sim"/>
    <s v="Zilhao, 1997"/>
    <m/>
    <m/>
    <m/>
    <m/>
    <m/>
    <m/>
  </r>
  <r>
    <n v="22"/>
    <s v="Estrada do Prado"/>
    <x v="2"/>
    <n v="39.610011"/>
    <n v="-8.4141750000000002"/>
    <s v="2;7"/>
    <s v="Moustierense"/>
    <s v="nao"/>
    <s v="N/A"/>
    <s v="silex, quartzito,quartzo"/>
    <s v="sim"/>
    <s v="nao"/>
    <s v="Cascalheira et al. 2021; Portal do Arqueologo, 2021; Cardoso, 2006"/>
    <m/>
    <m/>
    <m/>
    <m/>
    <m/>
    <m/>
  </r>
  <r>
    <n v="23"/>
    <s v="Figueira Brava "/>
    <x v="1"/>
    <n v="38.471193999999997"/>
    <n v="-8.9857189999999996"/>
    <s v="C2;C3"/>
    <s v="Moustierense"/>
    <s v="sim"/>
    <m/>
    <s v="silex, quartzo, quartzito"/>
    <s v="sim"/>
    <s v="sim"/>
    <s v="Shmidt et al. 2012; Cascalheira et al. 2018; Portal do Arqueologo, 2021; Antunes, 1989; Raposo e Cardoso, 2000"/>
    <m/>
    <m/>
    <m/>
    <m/>
    <m/>
    <m/>
  </r>
  <r>
    <n v="24"/>
    <s v="Fonte Santa"/>
    <x v="2"/>
    <n v="39.477682999999999"/>
    <n v="-8.5018960000000003"/>
    <s v="H-Q/22-29"/>
    <s v="Gravetense"/>
    <s v="sim"/>
    <m/>
    <s v="silex,quartzo, quartzito"/>
    <s v="sim"/>
    <s v="nao"/>
    <s v="Cascalheira et al. 2018; Zilhao, 1997"/>
    <m/>
    <m/>
    <m/>
    <m/>
    <m/>
    <m/>
  </r>
  <r>
    <n v="25"/>
    <s v="Foz do Enxarrique"/>
    <x v="2"/>
    <n v="39.649791999999998"/>
    <n v="-7.6703049999999999"/>
    <s v="T4; T5;T6"/>
    <s v="Moustierense"/>
    <s v="sim"/>
    <m/>
    <s v="quartzito, silex, quartzo"/>
    <s v="sim"/>
    <s v="sim"/>
    <s v="Cascalheira et al. 2021;Portal do Arqueologo,2021; Cunha et al., 2019; Pereira et al. 2012"/>
    <m/>
    <m/>
    <m/>
    <m/>
    <m/>
    <m/>
  </r>
  <r>
    <n v="26"/>
    <s v="Furninha"/>
    <x v="1"/>
    <n v="39.356082000000001"/>
    <n v="-9.4008120000000002"/>
    <n v="5"/>
    <s v="Moustierense"/>
    <s v="nao"/>
    <s v="N/A"/>
    <s v="silex, quartzo, quartzito"/>
    <s v="sim"/>
    <s v="sim"/>
    <s v="Cascalheira et al. 2021; Portal do Arqueologo, 2021"/>
    <m/>
    <m/>
    <m/>
    <m/>
    <m/>
    <m/>
  </r>
  <r>
    <n v="27"/>
    <s v="Furninha"/>
    <x v="1"/>
    <n v="39.356082000000001"/>
    <n v="-9.4008120000000002"/>
    <s v="9;10"/>
    <s v="Gravetense"/>
    <s v="nao"/>
    <s v="N/A"/>
    <s v="silex, quartzo, quartzito"/>
    <s v="sim"/>
    <s v="sim"/>
    <s v="Cascalheira et al. 2021; Portal do Arqueologo, 2021"/>
    <m/>
    <m/>
    <m/>
    <m/>
    <m/>
    <m/>
  </r>
  <r>
    <n v="28"/>
    <s v="Furninha"/>
    <x v="1"/>
    <n v="39.356082000000001"/>
    <n v="-9.4008120000000002"/>
    <s v="9;10 "/>
    <s v="Solutrense"/>
    <s v="nao"/>
    <s v="N/A"/>
    <s v="silex,quartzo, quartzito"/>
    <s v="sim"/>
    <s v="sim"/>
    <s v="Cascalheira et al. 2021;Portal do Arqueologo,2021; Cardoso e Bicho, 2010"/>
    <m/>
    <m/>
    <m/>
    <m/>
    <m/>
    <m/>
  </r>
  <r>
    <n v="29"/>
    <s v="Galerias Pesadas"/>
    <x v="1"/>
    <n v="39.505330999999998"/>
    <n v="-8.6152789999999992"/>
    <s v="B1; B2; C;E"/>
    <s v="Moustierense"/>
    <s v="sim"/>
    <m/>
    <s v="quartzo, silex, quartizito"/>
    <s v="sim"/>
    <s v="sim"/>
    <s v="Cascalheira et al. 2021, Portal do Arqueologo, 2021; Marks et al. 2002"/>
    <m/>
    <m/>
    <m/>
    <m/>
    <m/>
    <m/>
  </r>
  <r>
    <n v="30"/>
    <s v="Gato Preto"/>
    <x v="2"/>
    <n v="39.335690999999997"/>
    <n v="-8.930275"/>
    <s v="C; E9; A4; A6-Z4; B4"/>
    <s v="Solutrense"/>
    <s v="sim"/>
    <m/>
    <s v="silex, quartzo,quartzito"/>
    <s v="sim"/>
    <s v="nao"/>
    <s v="Cascalheira et al. 2018;Portal do Arqueologo, 2021"/>
    <m/>
    <m/>
    <m/>
    <m/>
    <m/>
    <m/>
  </r>
  <r>
    <n v="31"/>
    <s v="Gasparoes"/>
    <x v="2"/>
    <n v="37.992100000000001"/>
    <n v="-8.2592999999999996"/>
    <s v="sondagem diagnostico"/>
    <s v="Moustierense"/>
    <s v="sim"/>
    <m/>
    <s v="quartzito, quartzo"/>
    <s v="sim"/>
    <s v="nao"/>
    <s v="Cascalheira et al, 2021; Burke et al., 2011; Vermeech, 2020"/>
    <m/>
    <m/>
    <m/>
    <m/>
    <m/>
    <m/>
  </r>
  <r>
    <n v="32"/>
    <s v=" Gruta da Casa da Moura"/>
    <x v="1"/>
    <n v="39.324385999999997"/>
    <n v="-9.2548030000000008"/>
    <s v="Nivel 1b, Deposito inferior"/>
    <s v="Gravetense"/>
    <s v="sim"/>
    <m/>
    <s v="silex, quartzito"/>
    <s v="não"/>
    <s v="sim"/>
    <s v="Schmidt et al. 2012;Portal do Arqueologo, 2021; Zilhao, 1997"/>
    <m/>
    <m/>
    <m/>
    <m/>
    <m/>
    <m/>
  </r>
  <r>
    <n v="33"/>
    <s v="Gruta da Companheira"/>
    <x v="1"/>
    <n v="37.152886000000002"/>
    <n v="-8.523358"/>
    <s v="R1"/>
    <s v="Moustierense "/>
    <s v="nao"/>
    <s v="N/A"/>
    <s v="quartzo"/>
    <s v="não"/>
    <s v="sim"/>
    <s v="Cascalheira et al. 2021; Portal do Arqueologo, 2021"/>
    <m/>
    <m/>
    <m/>
    <m/>
    <m/>
    <m/>
  </r>
  <r>
    <n v="34"/>
    <s v="Gruta da Oliveira"/>
    <x v="1"/>
    <n v="39.504589000000003"/>
    <n v="-8.6160759999999996"/>
    <s v="8;  9; 11"/>
    <s v="Moustierense"/>
    <s v="sim"/>
    <m/>
    <s v="silex, quartzito, quartzo"/>
    <s v="sim"/>
    <s v="sim"/>
    <s v="Schmidt et al. 2012; Cascalheira et al. 2021;Portal do Arqueologo,2021; Marks et al, 2001"/>
    <m/>
    <m/>
    <m/>
    <m/>
    <m/>
    <m/>
  </r>
  <r>
    <n v="35"/>
    <s v="Gruta Nova da Columbeira"/>
    <x v="1"/>
    <n v="39.297908999999997"/>
    <n v="-9.2002269999999999"/>
    <s v="Nivel 4-9"/>
    <s v="Moustierense "/>
    <s v="sim"/>
    <m/>
    <s v="quartzo, quartzito, silex"/>
    <s v="sim"/>
    <s v="sim"/>
    <s v="Schmidt et al.2012;Portal do Arqueologo,2021; Raposo e Cardoso, 1998"/>
    <m/>
    <m/>
    <m/>
    <m/>
    <m/>
    <m/>
  </r>
  <r>
    <n v="36"/>
    <s v="Gruta das Salemas"/>
    <x v="1"/>
    <n v="38.875754999999998"/>
    <n v="-9.2033930000000002"/>
    <s v="Nivel IV"/>
    <s v="Moustierense"/>
    <s v="sim"/>
    <m/>
    <s v="silex, quartzo"/>
    <s v="sim"/>
    <s v="sim"/>
    <s v="Schmidt et al. 2012; Cascalheira et al. 2021;Portal do Arqueologo, 2021"/>
    <m/>
    <m/>
    <m/>
    <m/>
    <m/>
    <m/>
  </r>
  <r>
    <n v="37"/>
    <s v="Gruta das Salemas"/>
    <x v="1"/>
    <n v="38.875754999999998"/>
    <n v="-9.2033930000000002"/>
    <s v="Nivel III"/>
    <s v="Aurinhacense"/>
    <s v="nao"/>
    <s v="N/A"/>
    <s v="silex, quartzo"/>
    <s v="sim"/>
    <s v="sim"/>
    <s v="Schmidt et al. 2012; Cascalheira et al. 2021; Portal do Arqueologo 2021"/>
    <m/>
    <m/>
    <m/>
    <m/>
    <m/>
    <m/>
  </r>
  <r>
    <n v="38"/>
    <s v="Gruta das Salemas"/>
    <x v="1"/>
    <n v="38.875754999999998"/>
    <n v="-9.2033930000000002"/>
    <s v="Nivel III"/>
    <s v="Gravetense"/>
    <s v="nao"/>
    <s v="N/A"/>
    <s v="silex, quartzo"/>
    <s v="sim"/>
    <s v="sim"/>
    <s v="Schmidt et al. 2012; Cascalheira et al. 2021; Portal do Arqueologo 2021"/>
    <m/>
    <m/>
    <m/>
    <m/>
    <m/>
    <m/>
  </r>
  <r>
    <n v="39"/>
    <s v="Gruta de Ibn Ammar"/>
    <x v="1"/>
    <n v="37.156103000000002"/>
    <n v="-8.5000750000000007"/>
    <s v="sifao"/>
    <s v="Moustierense"/>
    <s v="nao"/>
    <s v="N/A"/>
    <s v="silex, quartzo, quartzito, calcario"/>
    <s v="não"/>
    <s v="sim"/>
    <s v="Cascalheira et al. 2021, Maio, 2018;"/>
    <m/>
    <m/>
    <m/>
    <m/>
    <m/>
    <m/>
  </r>
  <r>
    <n v="40"/>
    <s v="Gruta do Caldeirao"/>
    <x v="1"/>
    <n v="39.648547000000001"/>
    <n v="-8.4156370000000003"/>
    <s v=" K"/>
    <s v="Moustierense"/>
    <s v="sim"/>
    <m/>
    <s v="silex"/>
    <s v="sim"/>
    <s v="sim"/>
    <s v="Schmidt et al. 2012; Cascalheira et al. 2021; Zilhao, 1997"/>
    <m/>
    <m/>
    <m/>
    <m/>
    <m/>
    <m/>
  </r>
  <r>
    <n v="41"/>
    <s v="Gruta do Caldeirao"/>
    <x v="1"/>
    <n v="39.648547000000001"/>
    <n v="-8.4156370000000003"/>
    <s v=" J a; Jb"/>
    <s v="Gravetense"/>
    <s v="nao"/>
    <s v="N/A"/>
    <s v="silex"/>
    <s v="sim"/>
    <s v="sim"/>
    <s v="Schmidt et al. 2012; Cascalheira et al. 2021;Zilhao, 1997"/>
    <m/>
    <m/>
    <m/>
    <m/>
    <m/>
    <m/>
  </r>
  <r>
    <n v="42"/>
    <s v="Gruta do Caldeirao"/>
    <x v="1"/>
    <n v="39.648547000000001"/>
    <n v="-8.4156370000000003"/>
    <s v="Fc; H;  Fa; Fb;Eb"/>
    <s v=" Solutrense"/>
    <s v="sim"/>
    <m/>
    <s v="silex"/>
    <s v="sim"/>
    <s v="sim"/>
    <s v="Schmidt et al. 2012; Cascalheira et al. 2021;Zilhao, 1997"/>
    <m/>
    <m/>
    <m/>
    <m/>
    <m/>
    <m/>
  </r>
  <r>
    <n v="43"/>
    <s v="Gruta do Correio Mor"/>
    <x v="1"/>
    <n v="38.826740000000001"/>
    <n v="-9.1871589999999994"/>
    <s v="Nivel IV"/>
    <s v="Moustierense"/>
    <s v="nao"/>
    <s v="N/A"/>
    <s v="silex "/>
    <s v="não"/>
    <s v="nao"/>
    <s v="Cascalheira et al. 2021; Portal do Arqueologo, 2021; Zebyszewski et al. 1987"/>
    <m/>
    <m/>
    <m/>
    <m/>
    <m/>
    <m/>
  </r>
  <r>
    <n v="44"/>
    <s v="Gruta do Correio Mor"/>
    <x v="1"/>
    <n v="38.826740000000001"/>
    <n v="-9.1871589999999994"/>
    <s v="Nivel II e III"/>
    <s v="Solutrense"/>
    <s v="nao"/>
    <s v="N/A"/>
    <s v="silex  "/>
    <s v="sim"/>
    <s v="sim"/>
    <s v="Cascalheira et al. 2021; Portal do Arqueologo, 2021; Zebyszewski et al. 1987"/>
    <m/>
    <m/>
    <m/>
    <m/>
    <m/>
    <m/>
  </r>
  <r>
    <n v="45"/>
    <s v="Gruta do Escoural"/>
    <x v="1"/>
    <n v="38.543540999999998"/>
    <n v="-8.1376559999999998"/>
    <s v=" 2-3"/>
    <s v="Moustierense"/>
    <s v="sim"/>
    <m/>
    <s v="quartzo, quartzito, silex"/>
    <s v="sim"/>
    <s v="sim"/>
    <s v="Shmidt et al. 2012; Cascalheira et al. 2021; Portal do Arqueologo, 2021;Zilhao, 1997"/>
    <m/>
    <m/>
    <m/>
    <m/>
    <m/>
    <m/>
  </r>
  <r>
    <n v="46"/>
    <s v="Gruta do Escoural"/>
    <x v="1"/>
    <n v="38.543540999999998"/>
    <n v="-8.1376559999999998"/>
    <s v=" 2-3"/>
    <s v="Solutrense"/>
    <s v="sim"/>
    <m/>
    <s v="quartzo, quartzito, silex"/>
    <s v="sim"/>
    <s v="sim"/>
    <s v="Schmidt et al. 2012; Cascalheira et al. 2021;Portal do Arqueologo, 2021; Zilhao, 1997"/>
    <m/>
    <m/>
    <m/>
    <m/>
    <m/>
    <m/>
  </r>
  <r>
    <n v="47"/>
    <s v="Gruta do Ourao"/>
    <x v="1"/>
    <n v="40.022962"/>
    <n v="-8.5800049999999999"/>
    <s v="Superficie (seccao 4 e 5)"/>
    <s v="Solutrense"/>
    <s v="nao"/>
    <s v="N/A"/>
    <s v="silex,quartzo, quartzito"/>
    <s v="sim"/>
    <s v="sim"/>
    <s v="Schmidt et al. 2012, cascalheira et al. 2018; Cascalheira et al. 2021; Portal do Arqueologo, 2021;Zilhao, 1997"/>
    <m/>
    <m/>
    <m/>
    <m/>
    <m/>
    <m/>
  </r>
  <r>
    <n v="48"/>
    <s v="Grutas do Poco Velho"/>
    <x v="1"/>
    <n v="38.700251999999999"/>
    <n v="-9.4210639999999994"/>
    <n v="2"/>
    <s v="Solutrense"/>
    <s v="sim"/>
    <m/>
    <s v="quartzo"/>
    <s v="sim"/>
    <s v="sim"/>
    <s v="Schmidt et al. 2012; Portal do Arqueologo, 2021; Zilhao, 1997"/>
    <s v="Do material solutrense faziam parte apenas duas peças (folha de loureiro e ponta de pendunculo)"/>
    <m/>
    <m/>
    <m/>
    <m/>
    <m/>
  </r>
  <r>
    <n v="49"/>
    <s v="Lagar velho"/>
    <x v="0"/>
    <n v="39.755453000000003"/>
    <n v="-8.7347350000000006"/>
    <s v="TP06"/>
    <s v="Gravetense"/>
    <s v="sim"/>
    <m/>
    <s v="quartzito, silex, quartzo"/>
    <s v="sim"/>
    <s v="sim"/>
    <s v="Schmidt et al. 2012; Cascalheira e Bicho, 2018; Zilhao e Trinkaus, 2002"/>
    <m/>
    <m/>
    <m/>
    <m/>
    <m/>
    <m/>
  </r>
  <r>
    <n v="52"/>
    <s v="Lagar velho"/>
    <x v="0"/>
    <n v="39.755453000000003"/>
    <n v="-8.7347350000000006"/>
    <s v="TP09"/>
    <s v=" Solutrense"/>
    <s v="sim"/>
    <m/>
    <s v="silex, quartzito, quartzo"/>
    <s v="sim"/>
    <s v="sim"/>
    <s v="Schmidt et al. 2012; Cascalheira et al. 2018; Zilhao e Trinkaus, 2002"/>
    <m/>
    <m/>
    <m/>
    <m/>
    <m/>
    <m/>
  </r>
  <r>
    <n v="53"/>
    <s v="Lagoa do Bando"/>
    <x v="2"/>
    <n v="39.615566999999999"/>
    <n v="-7.9876909999999999"/>
    <s v=" P"/>
    <s v="Moustierense"/>
    <s v="nao"/>
    <s v="N/A"/>
    <s v="quartzito, silex"/>
    <s v="sim"/>
    <s v="nao"/>
    <s v="Cascalheira et al. 2021; Portal do Arqueologo, 2021; Peca  et al. 2013"/>
    <m/>
    <m/>
    <m/>
    <m/>
    <m/>
    <m/>
  </r>
  <r>
    <n v="54"/>
    <s v="Lagoa Funda 1 "/>
    <x v="2"/>
    <n v="37.129956"/>
    <n v="-8.8992190000000004"/>
    <s v="superficie"/>
    <s v="Moustierense"/>
    <s v="nao"/>
    <s v="N/A"/>
    <s v="quartzo, quartzito, silex"/>
    <s v="sim"/>
    <s v="nao"/>
    <s v="Cascalheira et al. 2021; Maio, 2018; Portal do Arqueologo, 2021"/>
    <m/>
    <m/>
    <m/>
    <m/>
    <m/>
    <m/>
  </r>
  <r>
    <n v="55"/>
    <s v="Lagoa Funda 2"/>
    <x v="2"/>
    <n v="37.123168"/>
    <n v="-8.8898109999999999"/>
    <s v="superficie"/>
    <s v="Moustierense"/>
    <s v="nao"/>
    <s v="N/A"/>
    <s v="quartzo, quartzito, silex"/>
    <s v="sim"/>
    <s v="nao"/>
    <s v="Cascalheira et al. 2021, Maio, 2018;Portal do Arqueologo 2021"/>
    <m/>
    <m/>
    <m/>
    <m/>
    <m/>
    <m/>
  </r>
  <r>
    <n v="56"/>
    <s v="Lagoa do Bordoal"/>
    <x v="2"/>
    <n v="37.113768999999998"/>
    <n v="-8.8801539999999992"/>
    <s v="superficie"/>
    <s v="Moustierense"/>
    <s v="sim"/>
    <m/>
    <s v="quartzo, quartzito, silex"/>
    <s v="sim"/>
    <s v="nao"/>
    <s v="Cascalheira et al. 2021, Maio, 2018, Portal do Arqueologo, 2021"/>
    <m/>
    <m/>
    <m/>
    <m/>
    <m/>
    <m/>
  </r>
  <r>
    <n v="57"/>
    <s v="Lapa da Rainha"/>
    <x v="1"/>
    <n v="39.181269"/>
    <n v="-9.3252459999999999"/>
    <s v="4; 5"/>
    <s v="Solutrense"/>
    <s v="sim"/>
    <m/>
    <s v="silex"/>
    <s v="sim"/>
    <s v="sim"/>
    <s v="Cascalheira et al. 2018; portal do Arqueologo,2021; Zilhao,1997"/>
    <m/>
    <m/>
    <m/>
    <m/>
    <m/>
    <m/>
  </r>
  <r>
    <n v="58"/>
    <s v="Lapa do Anecrial"/>
    <x v="0"/>
    <n v="39.540736000000003"/>
    <s v="´- 8,757269"/>
    <n v="3"/>
    <s v="Gravetense"/>
    <s v="sim"/>
    <m/>
    <s v="silex, quartzo"/>
    <s v="sim"/>
    <s v="sim"/>
    <s v="Schmidt et al. 2012;Portal do Arqueologo, 2021"/>
    <m/>
    <m/>
    <m/>
    <m/>
    <m/>
    <m/>
  </r>
  <r>
    <n v="59"/>
    <s v="Lapa do Anecrial"/>
    <x v="0"/>
    <n v="39.540736000000003"/>
    <n v="-8.7572690000000009"/>
    <s v="1;2"/>
    <s v="Solutrense"/>
    <s v="sim"/>
    <m/>
    <s v="silex, quartzo"/>
    <s v="sim"/>
    <s v="sim"/>
    <s v="Schmidt et al. 2012; Portal do Arqueologo, 2021"/>
    <m/>
    <m/>
    <m/>
    <m/>
    <m/>
    <m/>
  </r>
  <r>
    <n v="60"/>
    <s v="Lapa do Picareiro"/>
    <x v="1"/>
    <n v="39.531669999999998"/>
    <n v="-8.6542399999999997"/>
    <s v=" O; R; S; T"/>
    <s v="Solutrense"/>
    <s v="sim"/>
    <m/>
    <s v="quartzo, quartzito"/>
    <s v="sim"/>
    <s v="sim"/>
    <s v="cascalheira et al. 2018; Cascalheira et al. 2021;Portal do Arqueologo, 2021"/>
    <m/>
    <m/>
    <m/>
    <m/>
    <m/>
    <m/>
  </r>
  <r>
    <n v="61"/>
    <s v="Lapa do Suao"/>
    <x v="1"/>
    <n v="39.299129999999998"/>
    <n v="-9.2006099999999993"/>
    <s v="Nivel 8-9"/>
    <s v="Solutrense"/>
    <s v="nao"/>
    <s v="N/A"/>
    <s v="silex, anfibolito, xisto"/>
    <s v="sim"/>
    <s v="nao"/>
    <s v="Schmidt et al. 2012; Portal do Arqueologo, 2021; Zilhao, 1997; Furtado et al. 1969"/>
    <m/>
    <m/>
    <m/>
    <m/>
    <m/>
    <m/>
  </r>
  <r>
    <n v="62"/>
    <s v="Lapa dos Furos"/>
    <x v="1"/>
    <n v="39.682944999999997"/>
    <n v="-8.4361759999999997"/>
    <n v="4"/>
    <s v="Moustierense"/>
    <s v="sim"/>
    <m/>
    <s v="silex"/>
    <s v="não"/>
    <s v="sim"/>
    <s v="Schmidt et al. 2012;Cascalheira et al. 2021;Portal do Arqueologo, 2021; Cardoso, 2006"/>
    <m/>
    <m/>
    <m/>
    <m/>
    <m/>
    <m/>
  </r>
  <r>
    <n v="63"/>
    <s v="Mina do Paco"/>
    <x v="2"/>
    <n v="37.933999999999997"/>
    <n v="-8.0869999999999997"/>
    <s v="superficie"/>
    <s v="Moustierense"/>
    <s v="nao"/>
    <s v="N/A"/>
    <s v="jaspe, quartzito"/>
    <s v="sim"/>
    <s v="nao"/>
    <s v="Cascalheira et al. 2021; Burke et al, 2011"/>
    <m/>
    <m/>
    <m/>
    <m/>
    <m/>
    <m/>
  </r>
  <r>
    <n v="64"/>
    <s v="Mira Nascente"/>
    <x v="2"/>
    <n v="39.706026000000001"/>
    <n v="-9.0498779999999996"/>
    <s v="MN3a; MN3b"/>
    <s v="Moustierense"/>
    <s v="nao"/>
    <s v="N/A"/>
    <s v="silex"/>
    <s v="sim"/>
    <s v="nao"/>
    <s v="Cascalheira et al. 2021; Portal do Arqueologo, 2021; Haws et al. 2010"/>
    <m/>
    <m/>
    <m/>
    <m/>
    <m/>
    <m/>
  </r>
  <r>
    <n v="65"/>
    <s v="Moinhos 1"/>
    <x v="2"/>
    <n v="37.9116"/>
    <n v="-8.2492000000000001"/>
    <s v="superficie"/>
    <s v="Moustierense"/>
    <s v="nao"/>
    <s v="N/A"/>
    <s v="quartzo, quartzito"/>
    <s v="sim"/>
    <s v="nao"/>
    <s v="Cascalheira et al. 2021; Burke et al, 2011"/>
    <m/>
    <m/>
    <m/>
    <m/>
    <m/>
    <m/>
  </r>
  <r>
    <n v="66"/>
    <s v="Moinhos 2"/>
    <x v="2"/>
    <n v="37.9116"/>
    <n v="-8.2492000000000001"/>
    <s v="superficie"/>
    <s v="Moustierense"/>
    <s v="nao"/>
    <s v="N/A"/>
    <s v="quartzo, quartzito"/>
    <s v="sim"/>
    <s v="nao"/>
    <s v="Cascalheira et al. 2021; Burke et al, 2011"/>
    <m/>
    <m/>
    <m/>
    <m/>
    <m/>
    <m/>
  </r>
  <r>
    <n v="67"/>
    <s v="Monte Penedo 1"/>
    <x v="2"/>
    <n v="39.508730999999997"/>
    <n v="-8.0401989999999994"/>
    <s v="superficie "/>
    <s v="Moustierense"/>
    <s v="nao"/>
    <s v="N/A"/>
    <s v="quartzito"/>
    <s v="sim"/>
    <s v="nao"/>
    <s v="Cascalheira et al. 2021; Portal do Arqueologo, 2021"/>
    <m/>
    <m/>
    <m/>
    <m/>
    <m/>
    <m/>
  </r>
  <r>
    <n v="68"/>
    <s v="Monte da Fainha"/>
    <x v="2"/>
    <n v="39.758595999999997"/>
    <n v="-7.6937734000000004"/>
    <s v="1-2m"/>
    <s v="Solutrense"/>
    <s v="nao"/>
    <s v="N/A"/>
    <s v="silex, quartzo, xisto"/>
    <s v="não"/>
    <s v="nao"/>
    <s v="Zilhao, 1997"/>
    <m/>
    <m/>
    <m/>
    <m/>
    <m/>
    <m/>
  </r>
  <r>
    <n v="69"/>
    <s v="Olival da Carneira"/>
    <x v="2"/>
    <n v="39.346559999999997"/>
    <n v="-8.9303810000000006"/>
    <n v="5"/>
    <s v="Solutrense"/>
    <s v="nao"/>
    <s v="N/A"/>
    <s v="silex , quartzo, quzrtzito"/>
    <s v="sim"/>
    <s v="nao"/>
    <s v="Zilhao, 1997"/>
    <m/>
    <m/>
    <m/>
    <m/>
    <m/>
    <m/>
  </r>
  <r>
    <n v="70"/>
    <s v="Passal"/>
    <x v="2"/>
    <n v="39.316215999999997"/>
    <n v="-8.841742"/>
    <s v="B2(2;3); S1 (3)"/>
    <s v="Solutrense"/>
    <s v="nao"/>
    <s v="N/A"/>
    <s v="silex"/>
    <s v="nao"/>
    <s v="nao"/>
    <s v="Zilhao, 1997"/>
    <m/>
    <m/>
    <m/>
    <m/>
    <m/>
    <m/>
  </r>
  <r>
    <n v="71"/>
    <s v="Pedrogao"/>
    <x v="2"/>
    <n v="39.919176999999998"/>
    <n v="-8.9535900000000002"/>
    <s v="superficie"/>
    <s v="Moustierense"/>
    <s v="nao"/>
    <s v="N/A"/>
    <s v="quartzito, silex"/>
    <s v="nao"/>
    <s v="nao"/>
    <s v="Cascalheira et al. 2021; Portal do Arqueologo, 2021; Pereira et al, 2012"/>
    <m/>
    <m/>
    <m/>
    <m/>
    <m/>
    <m/>
  </r>
  <r>
    <n v="72"/>
    <s v="Pego do Diabo"/>
    <x v="1"/>
    <n v="38.863075000000002"/>
    <n v="-9.2207150000000002"/>
    <s v="3;4"/>
    <s v="Moustierense "/>
    <s v="nao"/>
    <s v="N/A"/>
    <s v="silex, quartzo"/>
    <s v="nao"/>
    <s v="nao"/>
    <s v="Schmidt et al. 2012; Cascalheira et al. 2021;Portal do Arqueologo, 2021;Zilhao, 1997"/>
    <m/>
    <m/>
    <m/>
    <m/>
    <m/>
    <m/>
  </r>
  <r>
    <n v="73"/>
    <s v="Pego do Diabo"/>
    <x v="1"/>
    <n v="38.863075000000002"/>
    <n v="-9.2207150000000002"/>
    <s v="2 (spit 2b)"/>
    <s v="Aurinhacense"/>
    <s v="sim"/>
    <m/>
    <s v="silex"/>
    <s v="sim"/>
    <s v="sim"/>
    <s v="Schmidt et al. 2012; Cascalheira et al. 2021;Portal do Arqueologo, 2021;Zilhao, 1997"/>
    <m/>
    <m/>
    <m/>
    <m/>
    <m/>
    <m/>
  </r>
  <r>
    <n v="74"/>
    <s v="Porto Meirinho"/>
    <x v="2"/>
    <n v="39.279102999999999"/>
    <n v="-7.4073799999999999"/>
    <s v="Sondagem 2: UE5; A-C/7-9; camda 1 e 2"/>
    <s v="Moustierense"/>
    <s v="nao"/>
    <s v="N/A"/>
    <s v="quartzito"/>
    <s v="nao"/>
    <s v="nao"/>
    <s v="Cascalheira et al.2021; Portal do Arqueologo, 2021; Pereira et al., 2012"/>
    <m/>
    <m/>
    <m/>
    <m/>
    <m/>
    <m/>
  </r>
  <r>
    <n v="75"/>
    <s v="Praia da Gale"/>
    <x v="2"/>
    <n v="37.087592000000001"/>
    <n v="-8.3214760000000005"/>
    <s v="superficie"/>
    <s v="Moustierense"/>
    <s v="nao"/>
    <s v="N/A"/>
    <s v="quartzo, quartzito, silex"/>
    <s v="sim"/>
    <s v="nao"/>
    <s v="Cascalheira et al. 2021;Portal do Arqueologo, 2021"/>
    <m/>
    <m/>
    <m/>
    <m/>
    <m/>
    <m/>
  </r>
  <r>
    <n v="76"/>
    <s v="Praia Rei Cortico"/>
    <x v="2"/>
    <n v="39.422767"/>
    <n v="-9.2435109999999998"/>
    <s v="PC2b; PC4;PC5b; PC5c"/>
    <s v="Moustierense"/>
    <s v="sim"/>
    <m/>
    <s v="quartzo, quartzito"/>
    <s v="sim"/>
    <s v="nao"/>
    <s v="Portal do Arqueologo, 2021"/>
    <s v="Segundo o Portal do Arqueologo este sítio tem peças em carvão"/>
    <m/>
    <m/>
    <m/>
    <m/>
    <m/>
  </r>
  <r>
    <n v="77"/>
    <s v="Ribeira da Atalaia"/>
    <x v="2"/>
    <n v="39.473810999999998"/>
    <n v="-8.4619250000000008"/>
    <s v=" Q4"/>
    <s v="Moustierense"/>
    <s v="sim"/>
    <m/>
    <s v="quartzito"/>
    <s v="sim"/>
    <s v="nao"/>
    <s v="Cascalheira et al., 2021; Portal do Arqueologo, 2021; Oosterbeek et al. 2020"/>
    <m/>
    <m/>
    <m/>
    <m/>
    <m/>
    <m/>
  </r>
  <r>
    <n v="78"/>
    <s v="Ribeira da Atalaia"/>
    <x v="2"/>
    <n v="39.473810999999998"/>
    <n v="-8.4619250000000008"/>
    <s v="Q3"/>
    <s v="Gravetense "/>
    <s v="sim"/>
    <m/>
    <s v="quartzito, silex"/>
    <s v="sim"/>
    <s v="nao"/>
    <s v="Cascalheira et al. 2021; Portal do Arqueologo, 2021; Oosterbeek et al. 2020"/>
    <m/>
    <m/>
    <m/>
    <m/>
    <m/>
    <m/>
  </r>
  <r>
    <n v="79"/>
    <s v="Santa Cita"/>
    <x v="2"/>
    <n v="39.552415000000003"/>
    <n v="-8.3903470000000002"/>
    <s v=" B; C"/>
    <s v="Moustierense"/>
    <s v="nao"/>
    <s v="N/A"/>
    <s v="quartzo, quartzito, silex"/>
    <s v="nao"/>
    <s v="nao"/>
    <s v="Cascalheira et al.2021; Portal do Arqueologo, 2021; Pedergnana et al. 2011"/>
    <m/>
    <m/>
    <m/>
    <m/>
    <m/>
    <m/>
  </r>
  <r>
    <n v="80"/>
    <s v="Santo Antao do Tojal"/>
    <x v="2"/>
    <n v="38.858704000000003"/>
    <n v="-9.1427589999999999"/>
    <s v="Niveis 1-5"/>
    <s v="Moustierense"/>
    <s v="sim"/>
    <m/>
    <s v="silex, quartzo, quartzito"/>
    <s v="sim"/>
    <s v="sim"/>
    <s v="Cascalheira et al. 2021; Portal do Arqueologo, 2021, Raposo, 1995"/>
    <m/>
    <m/>
    <m/>
    <m/>
    <m/>
    <m/>
  </r>
  <r>
    <n v="81"/>
    <s v="Sapateiros 2"/>
    <x v="2"/>
    <n v="38.404792"/>
    <n v="-7.3819710000000001"/>
    <s v="3; 4 "/>
    <s v="Moustierense"/>
    <s v="nao"/>
    <s v="N/A"/>
    <s v="quartzito, quartzo"/>
    <s v="sim"/>
    <s v="nao"/>
    <s v="Cascalheira et al, 2021; Portal do Arqueologo, 2021, Cunha Ribeiro e Cura, 2013"/>
    <m/>
    <m/>
    <m/>
    <m/>
    <m/>
    <m/>
  </r>
  <r>
    <n v="82"/>
    <s v="Tapada do Montinho"/>
    <x v="2"/>
    <n v="39.912013000000002"/>
    <n v="-7.6900219999999999"/>
    <s v="C3"/>
    <s v="Moustierense"/>
    <s v="nao"/>
    <s v="N/A"/>
    <s v="silex, quartzito, quartzo"/>
    <s v="sim"/>
    <s v="nao"/>
    <s v="Cascalheira et al, 2021; Portal do Arqueologo, 2021, Almeida et al, 2011"/>
    <m/>
    <m/>
    <m/>
    <m/>
    <m/>
    <m/>
  </r>
  <r>
    <n v="83"/>
    <s v="Terra do Jose Pereira"/>
    <x v="2"/>
    <n v="39.342095999999998"/>
    <n v="-8.9927229999999998"/>
    <s v="superficie"/>
    <s v="Solutrense"/>
    <s v="nao"/>
    <s v="N/A"/>
    <s v="silex, quartzo"/>
    <s v="sim"/>
    <s v="nao"/>
    <s v="Cascalheira et al. 2018; portal do Arqueologo,2021; Zilhao,1997"/>
    <m/>
    <m/>
    <m/>
    <m/>
    <m/>
    <m/>
  </r>
  <r>
    <n v="84"/>
    <s v="Terra do Manuel "/>
    <x v="2"/>
    <n v="39.344776000000003"/>
    <n v="-8.9912960000000002"/>
    <s v="3; 5"/>
    <s v="Gravetense"/>
    <s v="sim"/>
    <m/>
    <s v="quartzito, silex"/>
    <s v="sim"/>
    <s v="sim"/>
    <s v="Cascalheira et al. 2018;Portal do Arqueologo, 2021; Zilhao, 1997"/>
    <m/>
    <m/>
    <m/>
    <m/>
    <m/>
    <m/>
  </r>
  <r>
    <n v="85"/>
    <s v="Terra do Manuel "/>
    <x v="2"/>
    <n v="39.344776000000003"/>
    <n v="-8.9912960000000002"/>
    <n v="2"/>
    <s v="Solutrense"/>
    <s v="sim"/>
    <m/>
    <s v="quartzito, silex"/>
    <s v="sim"/>
    <s v="sim"/>
    <s v="Cascalheira et al. 2018; portal do Arqueologo,2021; Zilhao,1997"/>
    <m/>
    <m/>
    <m/>
    <m/>
    <m/>
    <m/>
  </r>
  <r>
    <n v="86"/>
    <s v="Vale Boi"/>
    <x v="0"/>
    <n v="37.090102999999999"/>
    <n v="-8.8042549999999995"/>
    <s v="C1 (rockshelter); 3 (slope); 4 (terrace)"/>
    <s v="Gravetense"/>
    <s v="sim"/>
    <m/>
    <s v="quartzo, silex"/>
    <s v="sim"/>
    <s v="sim"/>
    <s v="Schmidt et al. 2012;Portal do Arqueologo, 2021"/>
    <m/>
    <m/>
    <m/>
    <m/>
    <m/>
    <m/>
  </r>
  <r>
    <n v="87"/>
    <s v="Vale Boi"/>
    <x v="0"/>
    <n v="37.090102999999999"/>
    <n v="-8.8042549999999995"/>
    <s v=" 2 (slope); A (base, rockshelter); B6 (rockshelter)"/>
    <s v=" Solutrense"/>
    <s v="sim"/>
    <m/>
    <s v="quartzo, silex"/>
    <s v="sim"/>
    <s v="sim"/>
    <s v="Schmidt et al. 2012;Portal do Arqueologo, 2021"/>
    <m/>
    <m/>
    <m/>
    <m/>
    <m/>
    <m/>
  </r>
  <r>
    <n v="88"/>
    <s v="Vale Comprido - Barraca"/>
    <x v="2"/>
    <n v="39.328778999999997"/>
    <n v="-8.9827790000000007"/>
    <s v="N/A"/>
    <s v="Gravetense"/>
    <s v="nao"/>
    <s v="N/A"/>
    <s v="silex, quartzo"/>
    <s v="sim"/>
    <s v="sim"/>
    <s v="Cascalheira et al. 2018; portal do Arqueologo,2021;Zilhao, 1997"/>
    <m/>
    <m/>
    <m/>
    <m/>
    <m/>
    <m/>
  </r>
  <r>
    <n v="89"/>
    <s v="Vale Comprido - Cruzamento"/>
    <x v="2"/>
    <n v="39.328403000000002"/>
    <n v="-8.9820340000000005"/>
    <s v="X-X7; A (9-14);B(9-13);C(10-14);D(10-14);E(12,14);F12"/>
    <s v="Gravetense"/>
    <s v="sim"/>
    <m/>
    <s v="silex, quartzo, quartzito, basalto"/>
    <s v="sim"/>
    <s v="nao"/>
    <s v="Cascalheira et al. 2018; portal do Arqueologo,2021; Zilhao,1997"/>
    <m/>
    <m/>
    <m/>
    <m/>
    <m/>
    <m/>
  </r>
  <r>
    <n v="90"/>
    <s v="Vale Comprido - Encosta"/>
    <x v="2"/>
    <n v="39.328150000000001"/>
    <n v="-8.9831430000000001"/>
    <s v="A-F"/>
    <s v="Solutrense"/>
    <s v="nao "/>
    <s v="N/A"/>
    <s v="silex, quartzo,quartzito"/>
    <s v="sim"/>
    <s v="nao"/>
    <s v="Cascalheira et al. 2018; portal do Arqueologo,2021;Zilhao, 1997"/>
    <m/>
    <m/>
    <m/>
    <m/>
    <m/>
    <m/>
  </r>
  <r>
    <n v="91"/>
    <s v="Vale da Almoinha"/>
    <x v="2"/>
    <n v="39.075302000000001"/>
    <n v="-9.4019209999999998"/>
    <s v="Nivel I-II"/>
    <s v="Solutrense"/>
    <s v="sim"/>
    <m/>
    <s v="silex, quartzito"/>
    <s v="sim"/>
    <s v="nao"/>
    <s v="Cascalheira et al. 2018; zilhao, 1997"/>
    <m/>
    <m/>
    <m/>
    <m/>
    <m/>
    <m/>
  </r>
  <r>
    <n v="92"/>
    <s v="Vale das Buracas"/>
    <x v="2"/>
    <n v="40.046132"/>
    <n v="-8.4957279999999997"/>
    <s v="UE3"/>
    <s v="Gravetense"/>
    <s v="nao"/>
    <s v="N/A"/>
    <s v="silex,quartzo"/>
    <s v="sim"/>
    <s v="sim"/>
    <s v="Schmidt et al. 2012;Portal do Arqueologo, 2021; Almeida et al, 1999"/>
    <m/>
    <m/>
    <m/>
    <m/>
    <m/>
    <m/>
  </r>
  <r>
    <n v="93"/>
    <s v="Vale das Buracas"/>
    <x v="2"/>
    <n v="40.046132"/>
    <n v="-8495728"/>
    <s v="UE3"/>
    <s v="Solutrense"/>
    <s v="nao"/>
    <s v="N/A"/>
    <s v="silex,quartzo"/>
    <s v="sim"/>
    <s v="sim"/>
    <s v="Schmidt et al. 2012; portal do Arqueologo, 2021; Almeida et al. 1999"/>
    <m/>
    <m/>
    <m/>
    <m/>
    <m/>
    <m/>
  </r>
  <r>
    <n v="94"/>
    <s v="Vale dos Porcos I"/>
    <x v="2"/>
    <n v="39.332869000000002"/>
    <n v="-8.9177049999999998"/>
    <s v="N/A"/>
    <s v="Aurinhacense"/>
    <s v="nao"/>
    <s v="N/A"/>
    <s v="silex, quartzito"/>
    <s v="sim"/>
    <s v="nao"/>
    <s v="Cascalheira et al. 2018; Portal do Arqueologo, 2021; Zilhao, 1997"/>
    <m/>
    <m/>
    <m/>
    <m/>
    <m/>
    <m/>
  </r>
  <r>
    <n v="95"/>
    <s v="Vale dos Porcos I"/>
    <x v="2"/>
    <n v="39.332869000000002"/>
    <n v="-8.9177049999999998"/>
    <s v="N/A"/>
    <s v="Gravetense"/>
    <s v="nao"/>
    <s v="N/A"/>
    <s v="silex,quartzito"/>
    <s v="sim"/>
    <s v="nao"/>
    <s v="Portal do Arqueologo, 2021; Zilhao, 1997"/>
    <m/>
    <m/>
    <m/>
    <m/>
    <m/>
    <m/>
  </r>
  <r>
    <n v="96"/>
    <s v="Vale dos Porcos II"/>
    <x v="2"/>
    <n v="39.331856999999999"/>
    <n v="-8.9189659999999993"/>
    <s v="N/A"/>
    <s v="Aurinhacense"/>
    <s v="nao"/>
    <s v="N/A"/>
    <s v="silex,quartzito, quartzo"/>
    <s v="sim"/>
    <s v="nao"/>
    <s v="Portal do Arqueologo, 2021; Zilhao, 1997"/>
    <m/>
    <m/>
    <m/>
    <m/>
    <m/>
    <m/>
  </r>
  <r>
    <n v="97"/>
    <s v="Vales da Senhora da Luz"/>
    <x v="2"/>
    <n v="39.344726000000001"/>
    <n v="-8.9913410000000002"/>
    <s v="superficie"/>
    <s v="Gravetense"/>
    <s v="nao"/>
    <s v="N/A"/>
    <s v="silex, quartzo,quartzito"/>
    <s v="sim"/>
    <s v="nao"/>
    <s v="cascalheira et al. 2018; portal do Arqueologo,2021; Zilhao,1997"/>
    <m/>
    <m/>
    <m/>
    <m/>
    <m/>
    <m/>
  </r>
  <r>
    <n v="98"/>
    <s v="Vascas"/>
    <x v="2"/>
    <n v="39.351531000000001"/>
    <n v="-8.9335629999999995"/>
    <s v="N/A"/>
    <s v="Aurinhacense"/>
    <s v="nao"/>
    <s v="N/A"/>
    <s v="silex"/>
    <s v="sim"/>
    <s v="nao"/>
    <s v="Cascalheira et al. 2018; Portal do Arqueologo, 2021; Zilhao, 1997"/>
    <m/>
    <m/>
    <m/>
    <m/>
    <m/>
    <m/>
  </r>
  <r>
    <n v="99"/>
    <s v="Vascas"/>
    <x v="2"/>
    <n v="39.351531000000001"/>
    <n v="-8.9335629999999995"/>
    <s v="N/A"/>
    <s v="Gravetense"/>
    <s v="nao"/>
    <s v="N/A"/>
    <s v="silex"/>
    <s v="sim"/>
    <s v="nao"/>
    <s v="Cascalheira et al. 2018; Portal do Arqueologo,2021; Zilhao,1997"/>
    <m/>
    <m/>
    <m/>
    <m/>
    <m/>
    <m/>
  </r>
  <r>
    <n v="100"/>
    <s v="Vilas ruivas"/>
    <x v="2"/>
    <n v="39.641950999999999"/>
    <n v="-7.6992599999999998"/>
    <s v="A;B-I;B-II"/>
    <s v="Moustierense"/>
    <s v="sim"/>
    <m/>
    <s v="quartzo, quartzito, silex"/>
    <s v="sim"/>
    <s v="nao"/>
    <s v="Portal do Arqueologo, 2021; Raposo, 1995"/>
    <m/>
    <m/>
    <m/>
    <m/>
    <m/>
    <m/>
  </r>
  <r>
    <n v="101"/>
    <s v="Vale da Porta"/>
    <x v="2"/>
    <n v="40.282223999999999"/>
    <n v="-8.5527719999999992"/>
    <s v="superficie"/>
    <s v="Moustierense"/>
    <s v="nao"/>
    <s v="N/A"/>
    <s v="silex"/>
    <s v="não"/>
    <s v="nao"/>
    <s v="Cascalheira et al, 2021; Portal do Arqueologo, 2021; Pereira et al, 2012"/>
    <s v="Verificar se fica acima dos 40ºlatitude, existem ainda Vale da Porta 2 e 3 tambem Paleolitico Medio"/>
    <m/>
    <m/>
    <m/>
    <m/>
    <m/>
  </r>
  <r>
    <n v="102"/>
    <s v="Vale do Forno 8"/>
    <x v="2"/>
    <n v="39.244917000000001"/>
    <n v="-8.5778110000000005"/>
    <s v="VF2;VF8"/>
    <s v="Moustierense"/>
    <s v="sim"/>
    <m/>
    <s v="silex, quartzo, quartzito"/>
    <s v="sim"/>
    <s v="nao"/>
    <s v="Cascalheira et al, 2021; Portal do Arqueologo, 2021; Raposo, 1995"/>
    <m/>
    <m/>
    <m/>
    <m/>
    <m/>
    <m/>
  </r>
  <r>
    <n v="103"/>
    <s v="Vale Santo"/>
    <x v="2"/>
    <n v="37.049706"/>
    <n v="-8.9613619999999994"/>
    <s v="superficie"/>
    <s v="Moustierense"/>
    <s v="nao"/>
    <s v="N/A"/>
    <s v="silex, quartzo, quartzito"/>
    <s v="sim"/>
    <s v="nao"/>
    <s v="Cascalheira et al, 2021; Portal do Arqueologo, 2021; Maio, 2018"/>
    <m/>
    <m/>
    <m/>
    <m/>
    <m/>
    <m/>
  </r>
  <r>
    <n v="104"/>
    <s v="Abrigo del Capurri"/>
    <x v="0"/>
    <n v="38.813507999999999"/>
    <n v="7.7501E-2"/>
    <s v="N/A"/>
    <s v="Solutrense "/>
    <s v="nao"/>
    <s v="N/A"/>
    <s v="N/A"/>
    <s v="N/A"/>
    <s v="N/A"/>
    <s v="Schmidt et al. 2012; Cascalheira e Bicho, 2015"/>
    <m/>
    <m/>
    <m/>
    <m/>
    <m/>
    <m/>
  </r>
  <r>
    <n v="105"/>
    <s v="Bolomor"/>
    <x v="1"/>
    <n v="39.059376999999998"/>
    <n v="-0.24986800000000001"/>
    <s v="IV-III"/>
    <s v="Moustierense"/>
    <s v="sim"/>
    <m/>
    <s v="silex"/>
    <s v="sim"/>
    <s v="sim"/>
    <s v="Vermeersh, 2020;Fernadez Peris et al, 2010"/>
    <s v="Presença de ossos humanos"/>
    <m/>
    <m/>
    <m/>
    <m/>
    <m/>
  </r>
  <r>
    <n v="106"/>
    <s v="Cochino"/>
    <x v="1"/>
    <n v="38.641019"/>
    <n v="-0.85829999999999995"/>
    <s v="II-III"/>
    <s v="Moustierense "/>
    <s v="nao"/>
    <s v="N/A"/>
    <s v="silex"/>
    <s v="sim"/>
    <s v="sim"/>
    <s v="Schmidt et al.2012; Vermeesch, 2020; Bonilla, 1984."/>
    <m/>
    <m/>
    <m/>
    <m/>
    <m/>
    <m/>
  </r>
  <r>
    <n v="107"/>
    <s v="Complejo del Humo - Abrigo 4"/>
    <x v="0"/>
    <n v="36.713194000000001"/>
    <n v="-4.3197020000000004"/>
    <s v="II"/>
    <s v="Moustierense"/>
    <s v="nao"/>
    <s v="N/A"/>
    <s v="calcario,silex"/>
    <s v="sim"/>
    <s v="nao"/>
    <s v="Schmidt et al. 2012; Vermeesch, 2020; Fernandez et al. 1998"/>
    <m/>
    <m/>
    <m/>
    <m/>
    <m/>
    <m/>
  </r>
  <r>
    <n v="108"/>
    <s v="Cova Ampla del Cap Gros"/>
    <x v="0"/>
    <n v="38.811422"/>
    <n v="8.9177000000000006E-2"/>
    <s v="remexido"/>
    <s v="Solutrense"/>
    <s v="não"/>
    <s v="N/A"/>
    <s v="N/A"/>
    <s v="N/A"/>
    <s v="N/A"/>
    <s v="Schmidt et al. 2012; Cascalheira 2013"/>
    <m/>
    <m/>
    <m/>
    <m/>
    <m/>
    <m/>
  </r>
  <r>
    <n v="109"/>
    <s v="Cova de les Cendres"/>
    <x v="1"/>
    <n v="38.685899999999997"/>
    <n v="0.1522"/>
    <s v=" XIV; XVIA; XVIC"/>
    <s v="Gravetense"/>
    <s v="sim"/>
    <m/>
    <s v="silex, calcario, quartzo"/>
    <s v="sim"/>
    <s v="sim"/>
    <s v="Schmidt et al. 2012; Vermeesch. 2020; Real et al, 2019; Vilaverde et al. 1999; Villaverde e Roman, 2004"/>
    <m/>
    <m/>
    <m/>
    <m/>
    <m/>
    <m/>
  </r>
  <r>
    <n v="110"/>
    <s v="Cova de les Cendres"/>
    <x v="1"/>
    <n v="38.685899999999997"/>
    <n v="0.1522"/>
    <s v=" XIIIB"/>
    <s v="Solutrense"/>
    <s v="sim"/>
    <m/>
    <s v="silex,quartzo"/>
    <s v="sim"/>
    <s v="sim"/>
    <s v="Schmidt et al. 2012; Vermeesch. 2020; Villaverde e Roman, 2004"/>
    <m/>
    <m/>
    <m/>
    <m/>
    <m/>
    <m/>
  </r>
  <r>
    <n v="111"/>
    <s v="Cova Foradada (ou Forada)"/>
    <x v="1"/>
    <n v="38.813999000000003"/>
    <n v="-0.170094"/>
    <s v="Sector II, II; Sector II,V"/>
    <s v="Aurinhacense"/>
    <s v="sim"/>
    <m/>
    <s v="N/A"/>
    <s v="N/A"/>
    <s v="sim"/>
    <s v="schmidt et al. 2012; Vermeersh, 2021; Zilhao, 2006; Arsuaga et al, 2001"/>
    <s v="Presença de ossos humanos"/>
    <m/>
    <m/>
    <m/>
    <m/>
    <m/>
  </r>
  <r>
    <n v="112"/>
    <s v="Cova Foradada (ou Forada)"/>
    <x v="1"/>
    <n v="38.813999000000003"/>
    <n v="-0.170094"/>
    <s v="III"/>
    <s v="Moustierense"/>
    <s v="sim"/>
    <m/>
    <s v="N/A"/>
    <s v="N/A"/>
    <s v="sim"/>
    <s v="Schmidt et al. 2012; Vermeersch, 2020; Zilhao, 2006; Bonilla, 1984"/>
    <m/>
    <m/>
    <m/>
    <m/>
    <m/>
    <m/>
  </r>
  <r>
    <n v="113"/>
    <s v="Cova del Llop"/>
    <x v="1"/>
    <n v="38.992750999999998"/>
    <n v="-0.22727"/>
    <s v="20 cm- 1m"/>
    <s v="Solutrense"/>
    <s v="nao"/>
    <s v="N/A"/>
    <s v="silex, calcário"/>
    <s v="sim"/>
    <s v="sim"/>
    <s v="Schmidt et al.2012; Vermeesch, 202;  Aparicio Perez et al. 1976"/>
    <m/>
    <m/>
    <m/>
    <m/>
    <m/>
    <m/>
  </r>
  <r>
    <n v="114"/>
    <s v="Cova de les Maravelles"/>
    <x v="1"/>
    <s v="38.970639"/>
    <s v="´-0.227152"/>
    <s v="remexido"/>
    <s v="Solutrense"/>
    <s v="sim"/>
    <m/>
    <s v="silex"/>
    <s v="sim"/>
    <s v="sim"/>
    <s v="Schmidt et al.2012; Vermeesch, 2020; Bonilla e Sanchez, 1981"/>
    <m/>
    <m/>
    <m/>
    <m/>
    <m/>
    <m/>
  </r>
  <r>
    <n v="115"/>
    <s v="Cova del Moro"/>
    <x v="1"/>
    <s v=" 38.702243"/>
    <s v="  0.151262"/>
    <s v="sector 2"/>
    <s v="Solutrense"/>
    <s v="sim"/>
    <m/>
    <s v="quartzo, silex"/>
    <s v="sim"/>
    <s v="sim"/>
    <s v="Schmidt el al. 2012; Vermeesch, 2020; Roman et al. 2019"/>
    <m/>
    <m/>
    <m/>
    <m/>
    <m/>
    <m/>
  </r>
  <r>
    <n v="116"/>
    <s v="Cova Negra"/>
    <x v="1"/>
    <n v="38.982883999999999"/>
    <s v="´-0,0.517463"/>
    <s v="Nivel A-E"/>
    <s v="Moustierense "/>
    <s v="nao"/>
    <s v="N/A"/>
    <s v="silex, quartzo, quartzito, calcario"/>
    <s v="sim"/>
    <s v="sim"/>
    <s v="Schmidt et al. 2012; Vermeesch, 2020; Bonilla, 1984"/>
    <m/>
    <m/>
    <m/>
    <m/>
    <m/>
    <m/>
  </r>
  <r>
    <n v="117"/>
    <s v="Cova Negra"/>
    <x v="1"/>
    <n v="38.982883999999999"/>
    <s v="´-0,517463"/>
    <s v="Nivel A-B"/>
    <s v="Aurinhacense"/>
    <s v="nao"/>
    <s v="N/A"/>
    <s v="silex, quartzo, quartzito, calcario"/>
    <s v="sim"/>
    <s v="sim"/>
    <s v="Schmidt et al. 2012; Vermeesch, 2020; Bonilla, 1984"/>
    <m/>
    <m/>
    <m/>
    <m/>
    <m/>
    <m/>
  </r>
  <r>
    <n v="118"/>
    <s v="Cova Vermelha"/>
    <x v="1"/>
    <n v="37.587899999999998"/>
    <n v="-10336"/>
    <s v="N/A"/>
    <s v="Solutrense"/>
    <s v="nao"/>
    <s v="N/A"/>
    <s v="quartzito, silex"/>
    <s v="sim"/>
    <s v="sim"/>
    <s v="Vermeesch, 2020; Bernardez, 1980"/>
    <m/>
    <m/>
    <m/>
    <m/>
    <m/>
    <m/>
  </r>
  <r>
    <n v="119"/>
    <s v="Cova dels Porcs"/>
    <x v="1"/>
    <n v="38.941903000000003"/>
    <n v="-0.20353199999999999"/>
    <s v="N/A"/>
    <s v="Solutrense"/>
    <s v="N/A"/>
    <s v="N/A"/>
    <s v="N/A"/>
    <s v="sim"/>
    <s v="N/A"/>
    <s v="Schmidt et al. 2012; Bonilla, 1979; Bonilla e Sanchez, 1981"/>
    <s v="A analise litica não refere qual a materia-prima"/>
    <m/>
    <m/>
    <m/>
    <m/>
    <m/>
  </r>
  <r>
    <n v="120"/>
    <s v="Cova Perneras"/>
    <x v="1"/>
    <n v="37.534999999999997"/>
    <n v="-1.42"/>
    <s v="gamma;delta; epsilon; zeta;eta"/>
    <s v="Aurinhacense"/>
    <s v="nao"/>
    <s v="N/A"/>
    <s v="silex, quartzo, quartzito, calcario"/>
    <s v="sim"/>
    <s v="sim"/>
    <s v="Schmidt et al. 2012; Bernardez, 1980; Cacho, 1981"/>
    <m/>
    <m/>
    <m/>
    <m/>
    <m/>
    <m/>
  </r>
  <r>
    <n v="121"/>
    <s v="Cova Perneras "/>
    <x v="1"/>
    <n v="37.53"/>
    <n v="-1.42"/>
    <s v="gamma;delta; epsilon; zeta;eta"/>
    <s v="Moustierense"/>
    <s v="nao"/>
    <s v="N/A"/>
    <s v="silex, quartzo, quartzito, calcario"/>
    <s v="sim"/>
    <s v="sim"/>
    <s v="Schmidt et al. 2012; Bernardez, 1980; Cacho, 1981"/>
    <m/>
    <m/>
    <m/>
    <m/>
    <m/>
    <m/>
  </r>
  <r>
    <n v="122"/>
    <s v="Cueva Anton"/>
    <x v="1"/>
    <n v="38.064399999999999"/>
    <n v="-1.4964"/>
    <s v="I-k, II-a,_x000a_II-c; II-b; II-d (nos quadrados J19, K19, J18)"/>
    <s v="Moustierense"/>
    <s v="sim"/>
    <m/>
    <s v="calcario,silex"/>
    <s v="sim"/>
    <s v="sim"/>
    <s v="Schmidt et al. 2012; Vermeesch, 2020; Angelucci et al. 2013; Martinez Sanchez, 1995"/>
    <m/>
    <m/>
    <m/>
    <m/>
    <m/>
    <m/>
  </r>
  <r>
    <n v="123"/>
    <s v="Cueva Ambrosio"/>
    <x v="1"/>
    <n v="37.831899999999997"/>
    <n v="-2.0956000000000001"/>
    <s v=" II; IV; VI"/>
    <s v="Solutrense"/>
    <s v="sim"/>
    <m/>
    <s v="silex"/>
    <s v="sim"/>
    <s v="sim"/>
    <s v="Schmidt et al. 2012; Vermeesch. 2020; Cascalheira, 2013"/>
    <m/>
    <m/>
    <m/>
    <m/>
    <m/>
    <m/>
  </r>
  <r>
    <n v="124"/>
    <s v="Cueva Beneito"/>
    <x v="1"/>
    <n v="38.757002"/>
    <n v="-0.65728900000000001"/>
    <s v="D3-D1;C4-C1; B4-B1"/>
    <s v="Moustierense"/>
    <s v="sim"/>
    <m/>
    <s v="silex"/>
    <s v="sim"/>
    <s v="sim"/>
    <s v="Schmidt et al. 2012; Zilhao, 2006; Iturbe et al. 1993"/>
    <m/>
    <m/>
    <m/>
    <m/>
    <m/>
    <m/>
  </r>
  <r>
    <n v="125"/>
    <s v="Cueva Beneito"/>
    <x v="1"/>
    <n v="38.757002"/>
    <n v="-0.65728900000000001"/>
    <s v=" C2; C4"/>
    <s v="Aurinhacense"/>
    <s v="sim"/>
    <m/>
    <s v="silex"/>
    <s v="sim"/>
    <s v="sim"/>
    <s v="Schmidt et al. 2012;Zilhao, 2006; Iturbe et al. 1993; Faus et al. 2012"/>
    <m/>
    <m/>
    <m/>
    <m/>
    <m/>
    <m/>
  </r>
  <r>
    <n v="126"/>
    <s v="Cueva Beneito"/>
    <x v="1"/>
    <n v="38.757002"/>
    <n v="-0.65728900000000001"/>
    <s v="B7 - B3"/>
    <s v="Gravetense"/>
    <s v="nao"/>
    <s v="N/A"/>
    <s v="silex"/>
    <s v="sim"/>
    <s v="sim"/>
    <s v="Schmidt et al. 2012; Domenech Faus et al. 2012; Iturbe et al. 1993"/>
    <m/>
    <m/>
    <m/>
    <m/>
    <m/>
    <m/>
  </r>
  <r>
    <n v="127"/>
    <s v="Cueva Beneito"/>
    <x v="1"/>
    <n v="38.757002"/>
    <n v="-0.65728900000000001"/>
    <s v="B2; B4-B6"/>
    <s v="Solutrense"/>
    <s v="sim"/>
    <m/>
    <s v="silex"/>
    <s v="sim"/>
    <s v="sim"/>
    <s v="Schmidt at al. 2012; Domenech Faus et al. 2012; Iturbe et al. 1993"/>
    <m/>
    <m/>
    <m/>
    <m/>
    <m/>
    <m/>
  </r>
  <r>
    <n v="128"/>
    <s v="Cueva Boquete de Zafarraya"/>
    <x v="1"/>
    <n v="36.9512"/>
    <n v="-4.1266999999999996"/>
    <s v="UE7-UE34"/>
    <s v="Moustierense "/>
    <s v="sim"/>
    <m/>
    <s v="silex"/>
    <s v="sim"/>
    <s v="sim"/>
    <s v="Schmidt et al. 2012; Vermeesch, 2020; Perez, 199; Barroso-Ruiz e Lumley, 2006; Barroso et al. 2003"/>
    <s v="Presença de ossos de neandertais"/>
    <m/>
    <m/>
    <m/>
    <m/>
    <m/>
  </r>
  <r>
    <n v="129"/>
    <s v="Cueva Boquete de Zafarraya"/>
    <x v="1"/>
    <n v="36.9512"/>
    <n v="-4.1266999999999996"/>
    <s v="UE4 - UE6"/>
    <s v="Aurinhacense "/>
    <s v="nao"/>
    <s v="N/A"/>
    <s v="silex"/>
    <s v="sim"/>
    <s v="sim"/>
    <s v="Schmidt et al. 2012; Vermeesch, 2020; Perez, 1998; Barroso-Ruiz e Lumley, 2006; Barroso et al. 2003"/>
    <m/>
    <m/>
    <m/>
    <m/>
    <m/>
    <m/>
  </r>
  <r>
    <n v="130"/>
    <s v="Cueva Boquete de Zafarraya"/>
    <x v="1"/>
    <n v="36.9512"/>
    <n v="-4.1266999999999996"/>
    <s v="UE4 - UE6"/>
    <s v="Gravetense"/>
    <s v="nao"/>
    <s v="N/A"/>
    <s v="silex"/>
    <s v="sim"/>
    <s v="sim"/>
    <s v="Schmidt et al. 2012; Vermeesch, 2020; Perez, 1998; Barroso-Ruiz e Lumley, 2006; Barroso et al. 2003"/>
    <m/>
    <m/>
    <m/>
    <m/>
    <m/>
    <m/>
  </r>
  <r>
    <n v="131"/>
    <s v="Cueva Boquete de Zafarraya"/>
    <x v="1"/>
    <n v="39.9512"/>
    <n v="-4.1266999999999996"/>
    <s v="UE4 - UE6"/>
    <s v="Solutrense"/>
    <s v="sim"/>
    <m/>
    <s v="silex"/>
    <s v="sim"/>
    <s v="sim"/>
    <s v="Schmidt et al. 2012; Vermeesch, 2020;Perez, 1998; Barroso-Ruiz e Lumley, 2006; Barroso et al. 2003"/>
    <m/>
    <m/>
    <m/>
    <m/>
    <m/>
    <m/>
  </r>
  <r>
    <n v="132"/>
    <s v="Cueva de Barranc Blanc"/>
    <x v="1"/>
    <n v="38.933007000000003"/>
    <n v="-0.26249600000000001"/>
    <s v="7;8;9"/>
    <s v="Gravetense"/>
    <s v="sim"/>
    <m/>
    <s v="calcario,silex"/>
    <s v="nao"/>
    <s v="sim "/>
    <s v="Schmidt et al, 2012;Vermeesch, 2020; Bonilla e Sanchez. 1981; Viciano, 1982; Villaverde e Roman, 2013"/>
    <s v="Presebça de ossos humanos"/>
    <m/>
    <m/>
    <m/>
    <m/>
    <m/>
  </r>
  <r>
    <n v="133"/>
    <s v="Cueva de Barranc Blanc"/>
    <x v="1"/>
    <n v="38.933007000000003"/>
    <n v="-0.26249600000000001"/>
    <s v="6;7"/>
    <s v="Solutrense"/>
    <s v="sim"/>
    <m/>
    <s v="calcario,silex"/>
    <s v="sim"/>
    <s v="sim"/>
    <s v="Schmidt et al. 2012; Vermeessch, 2020; Bonilla e Sanchez, 1981; Villaverde e Roman, 2013"/>
    <m/>
    <m/>
    <m/>
    <m/>
    <m/>
    <m/>
  </r>
  <r>
    <n v="134"/>
    <s v="Cueva de Cejo del Pantano"/>
    <x v="0"/>
    <n v="37.75"/>
    <n v="-1.54"/>
    <s v="sem UE "/>
    <s v="Solutrense"/>
    <s v="nao"/>
    <s v="N/A"/>
    <s v="silex, quartzo"/>
    <s v="sim"/>
    <s v="sim"/>
    <s v="Schmidt et al. 2012; Vermeesch, 2020; Cacho, 1981"/>
    <m/>
    <m/>
    <m/>
    <m/>
    <m/>
    <m/>
  </r>
  <r>
    <n v="135"/>
    <s v="Cueva de la Cariguela"/>
    <x v="1"/>
    <n v="34.444099999999999"/>
    <n v="-3.4331"/>
    <s v="XII-V"/>
    <s v="Moustierense"/>
    <s v="sim"/>
    <m/>
    <s v="silex"/>
    <s v="sim"/>
    <s v="sim"/>
    <s v="Schmidt el al. 2012; Perez,1998;Zilhao, 2006;  Reys et al. 2008; Carrion et al. 2019"/>
    <m/>
    <m/>
    <m/>
    <m/>
    <m/>
    <m/>
  </r>
  <r>
    <n v="136"/>
    <s v="Cueva de les Mallaetes"/>
    <x v="1"/>
    <n v="39.021000000000001"/>
    <n v="-0.29959999999999998"/>
    <s v="VIII"/>
    <s v="Aurinhacense"/>
    <s v="sim"/>
    <m/>
    <s v="silex"/>
    <s v="sim"/>
    <s v="sim"/>
    <s v="Schmidt et al. 2012;Vermeesch, 2020; Fortea e Jorda, 1976"/>
    <m/>
    <m/>
    <m/>
    <m/>
    <m/>
    <m/>
  </r>
  <r>
    <n v="137"/>
    <s v="Cueva de les Mallaetes"/>
    <x v="1"/>
    <n v="39.021000000000001"/>
    <n v="-0.29959999999999998"/>
    <s v="VIII;IX-X; Level 12 (sector E) - 275 to - 290 cm"/>
    <s v="Gravetense"/>
    <s v="sim"/>
    <m/>
    <s v="silex"/>
    <s v="sim"/>
    <s v="sim"/>
    <s v="Schmidt et al. 2012;  Vermeesch, 2020; Forta e Jorda, 1976"/>
    <m/>
    <m/>
    <m/>
    <m/>
    <m/>
    <m/>
  </r>
  <r>
    <n v="138"/>
    <s v="Cueva de les Mallaetes"/>
    <x v="1"/>
    <n v="39.021000000000001"/>
    <n v="-0.29959999999999998"/>
    <s v="II; III;  V-VI"/>
    <s v=" Solutrense"/>
    <s v="sim"/>
    <m/>
    <s v="silex"/>
    <s v="sim"/>
    <s v="sim"/>
    <s v="Schmidt el al. 2012; Vermeesch 2020; Fortea e Jorda, 1976"/>
    <m/>
    <m/>
    <m/>
    <m/>
    <m/>
    <m/>
  </r>
  <r>
    <n v="139"/>
    <s v="Cueva de los Aviones"/>
    <x v="1"/>
    <n v="37.585299999999997"/>
    <n v="-0.98580000000000001"/>
    <s v="I-V"/>
    <s v="Moustierense "/>
    <s v="sim"/>
    <m/>
    <s v="quartzo, silex"/>
    <s v="sim"/>
    <s v="sim"/>
    <s v="Schmidt el al. 2012; Zilhao et al. 2010"/>
    <m/>
    <m/>
    <m/>
    <m/>
    <m/>
    <m/>
  </r>
  <r>
    <n v="140"/>
    <s v="Cueva de los Morceguillos"/>
    <x v="1"/>
    <n v="37.216700000000003"/>
    <n v="-2.0661999999999998"/>
    <s v="Nivel Inferior, Medio e Superior"/>
    <s v="Gravetense"/>
    <s v="nao"/>
    <s v="N/A"/>
    <s v="silex, quartzo, quartzito"/>
    <s v="sim"/>
    <s v="sim"/>
    <s v="Schmidt et al. 2012; Vermeesch, 2020; Cacho, 1981"/>
    <m/>
    <m/>
    <m/>
    <m/>
    <m/>
    <m/>
  </r>
  <r>
    <n v="141"/>
    <s v="Cueva de los Morceguillos"/>
    <x v="1"/>
    <n v="37.216700000000003"/>
    <n v="-2.0667"/>
    <s v="Nivel Inferior, Medio e Superior"/>
    <s v="Solutrense"/>
    <s v="nao"/>
    <s v="N/A"/>
    <s v="silex, quartzo, quartzito"/>
    <s v="sim"/>
    <s v="sim"/>
    <s v="Schmidt el al. 2012; Vermeesch, 2020; Cacho, 1981"/>
    <m/>
    <m/>
    <m/>
    <m/>
    <m/>
    <m/>
  </r>
  <r>
    <n v="142"/>
    <s v="Cueva de los Ojos"/>
    <x v="1"/>
    <n v="36.985100000000003"/>
    <n v="-3.5619999999999998"/>
    <s v="II"/>
    <s v="Solutrense"/>
    <s v="nao"/>
    <s v="N/A"/>
    <s v="silex"/>
    <s v="sim"/>
    <s v="sim"/>
    <s v="Schmidt et al. 2012; Vermeesch, 2020; Fernandez, 2000"/>
    <m/>
    <m/>
    <m/>
    <m/>
    <m/>
    <m/>
  </r>
  <r>
    <n v="143"/>
    <s v="Cueva de Nerja"/>
    <x v="1"/>
    <n v="36.761899999999997"/>
    <n v="-3.8418999999999999"/>
    <s v="12;13"/>
    <s v="Gravetense"/>
    <s v="sim"/>
    <m/>
    <s v="silex, quartzo,quartzito, calcario"/>
    <s v="sim"/>
    <s v="sim"/>
    <s v="Schmidt et al. 2012; Vermeesch, 2020; Jorda e Aura tortosa, 2008; Aura tortosa et al. 2016; Aura tortosa et al, 2012"/>
    <m/>
    <m/>
    <m/>
    <m/>
    <m/>
    <m/>
  </r>
  <r>
    <n v="144"/>
    <s v="Cueva de Nerja"/>
    <x v="1"/>
    <n v="36.761899999999997"/>
    <n v="-3.8418999999999999"/>
    <s v="Vestibule8i; Vestibule8K+L;NV9(C4VIII);Vestibule8c; M79/8"/>
    <s v="Solutrense"/>
    <s v="sim"/>
    <m/>
    <s v="silex, quartzo,quartzito, calcario"/>
    <s v="sim"/>
    <s v="sim"/>
    <s v="Schmidt et al. 2012; Vermeesch, 2020; Jorda e Aura, 2008; Aura et al, 2006; Aura et al. 2012"/>
    <m/>
    <m/>
    <m/>
    <m/>
    <m/>
    <m/>
  </r>
  <r>
    <n v="145"/>
    <s v="Cueva de Tajo del jorox"/>
    <x v="1"/>
    <n v="36.729999999999997"/>
    <n v="-4.8600000000000003"/>
    <s v="Superficie"/>
    <s v="Solutrense"/>
    <s v="nao"/>
    <s v="N/A"/>
    <s v="silex"/>
    <s v="sim"/>
    <s v="sim"/>
    <s v="Schmidt et al. 2012; Vermeesch, 2020; Marques e Ruiz, 1975"/>
    <m/>
    <m/>
    <m/>
    <m/>
    <m/>
    <m/>
  </r>
  <r>
    <n v="146"/>
    <s v="Cueva del Higueral- Guardia de Motillas"/>
    <x v="1"/>
    <n v="36.549999999999997"/>
    <n v="-5.59"/>
    <s v="Nivel 7A e 7B"/>
    <s v="Moustierense"/>
    <s v="sim"/>
    <m/>
    <s v="quartzito"/>
    <s v="nao"/>
    <s v="sim"/>
    <s v="Schmidt et al. 2012; Pacheco e Lopez, 2017"/>
    <m/>
    <m/>
    <m/>
    <m/>
    <m/>
    <m/>
  </r>
  <r>
    <n v="147"/>
    <s v="Cueva del Higueral - Guardia de Motillas"/>
    <x v="1"/>
    <n v="36.549999999999997"/>
    <n v="-5.59"/>
    <s v="Nivel 4"/>
    <s v="Solutrense"/>
    <s v="sim"/>
    <m/>
    <s v="quartzito, silex"/>
    <s v="sim"/>
    <s v="sim"/>
    <s v="Schmidt et al. 2012; Pacheco e Lopez, 2017"/>
    <m/>
    <m/>
    <m/>
    <m/>
    <m/>
    <m/>
  </r>
  <r>
    <n v="148"/>
    <s v="Cueva del Parpallo"/>
    <x v="1"/>
    <n v="39.001922999999998"/>
    <n v="-0.25664100000000001"/>
    <s v="Nivel III"/>
    <s v="Gravetense"/>
    <s v="sim"/>
    <m/>
    <s v="silex"/>
    <s v="sim"/>
    <s v="sim"/>
    <s v="Schmidt et al. 2012;Vermeesch, 2020; Cascalheira,2013"/>
    <m/>
    <m/>
    <m/>
    <m/>
    <m/>
    <m/>
  </r>
  <r>
    <n v="149"/>
    <s v="Cueva del Parpallo"/>
    <x v="1"/>
    <n v="39.004100000000001"/>
    <n v="-0.25664100000000001"/>
    <s v="Nivel I e II"/>
    <s v="Solutrense"/>
    <s v="sim"/>
    <m/>
    <s v="silex"/>
    <s v="sim"/>
    <s v="sim"/>
    <s v="Schmidt et al. 2012; Vermeesch, 2020;Cascalheira, 2013"/>
    <m/>
    <m/>
    <m/>
    <m/>
    <m/>
    <m/>
  </r>
  <r>
    <n v="150"/>
    <s v="Cueva del Serron -La Palica"/>
    <x v="1"/>
    <n v="37.249814000000001"/>
    <n v="-1.920096"/>
    <s v="Nivel superior"/>
    <s v="Gravetense"/>
    <s v="não"/>
    <s v="N/A"/>
    <s v="silex, quartzo, quartzito"/>
    <s v="sim"/>
    <s v="sim"/>
    <s v="Schmidt et al. 2012; Cacho, 1981"/>
    <m/>
    <m/>
    <m/>
    <m/>
    <m/>
    <m/>
  </r>
  <r>
    <n v="151"/>
    <s v="Cueva del Serron -La Palica"/>
    <x v="1"/>
    <n v="37.249814000000001"/>
    <n v="-1.920096"/>
    <s v="Nivel superior"/>
    <s v=" Solutrense"/>
    <s v="nao"/>
    <s v="N/A"/>
    <s v="silex, quartzo, quartizto"/>
    <s v="sim"/>
    <s v="sim"/>
    <s v="Schmidt et al. 2012; Cacho, 1981"/>
    <m/>
    <m/>
    <m/>
    <m/>
    <m/>
    <m/>
  </r>
  <r>
    <n v="152"/>
    <s v="Cueva Hora"/>
    <x v="1"/>
    <n v="37.768790000000003"/>
    <n v="-3.3"/>
    <s v="Nivel I e II"/>
    <s v="Moustierense"/>
    <s v="nao"/>
    <s v="N/A"/>
    <s v="silex, calcedonia, quartzo"/>
    <s v="sim"/>
    <s v="sim"/>
    <s v="Schmidt et al. 2012; Vermeesch, 2020;Uriarte, 2002"/>
    <m/>
    <m/>
    <m/>
    <m/>
    <m/>
    <m/>
  </r>
  <r>
    <n v="153"/>
    <s v="Cueva de la Pileta"/>
    <x v="1"/>
    <n v="36.694302"/>
    <s v="´ -5,287420"/>
    <s v="7.30 - 8m"/>
    <s v="Moustierense"/>
    <s v="não"/>
    <s v="N/A"/>
    <s v="quartzito, silex, arenito"/>
    <s v="sim"/>
    <s v="sim"/>
    <s v="Schmidt et al. 2012; Cortes Sanchez e Simon-Vallejo, 2007"/>
    <m/>
    <m/>
    <m/>
    <m/>
    <m/>
    <m/>
  </r>
  <r>
    <n v="154"/>
    <s v="Cueva de la Pileta"/>
    <x v="1"/>
    <n v="36.694302"/>
    <s v="´ -5,287420"/>
    <s v="7.30"/>
    <s v="Gravetense"/>
    <s v="não"/>
    <s v="N/A"/>
    <s v="qaurtzito, silex"/>
    <s v="sim"/>
    <s v="sim"/>
    <s v="Schmidt et al. 2012; Cortes Sanchez e Simon-Vallejo, 2007"/>
    <m/>
    <m/>
    <m/>
    <m/>
    <m/>
    <m/>
  </r>
  <r>
    <n v="155"/>
    <s v="Cueva de la Pileta"/>
    <x v="1"/>
    <n v="36.694302"/>
    <s v="´ -5,287420"/>
    <s v="D-E; 7 - 7.30m"/>
    <s v="Solutrense"/>
    <s v="sim"/>
    <m/>
    <s v="quartzito, silex"/>
    <s v="sim"/>
    <s v="sim"/>
    <s v="Schmidt et al. 2012; Cortes Sanchez e Simon-Vallejo, 2007"/>
    <m/>
    <m/>
    <m/>
    <m/>
    <m/>
    <m/>
  </r>
  <r>
    <n v="156"/>
    <s v="Cueva Perneras"/>
    <x v="0"/>
    <n v="37.534999999999997"/>
    <n v="-1.42"/>
    <s v="VI-VIII"/>
    <s v="Moustierense "/>
    <s v="sim"/>
    <m/>
    <s v="silex, quartzo"/>
    <s v="sim"/>
    <s v="sim"/>
    <s v="Schmidt et al. 2012; Vermeesch. 2020; Bernardez, 1980; Zilhao e Villaverde, 2008"/>
    <m/>
    <m/>
    <m/>
    <m/>
    <m/>
    <m/>
  </r>
  <r>
    <n v="157"/>
    <s v="Cueva Perneras"/>
    <x v="0"/>
    <n v="37.534999999999997"/>
    <n v="-1.42"/>
    <s v="V"/>
    <s v="Aurinhacense"/>
    <s v="sim"/>
    <m/>
    <s v="silex, quartzo"/>
    <s v="sim"/>
    <s v="sim"/>
    <s v="Schmidt et al. 2012; Vermeesch, 2020; Bernardez, 1980; Zilhao e Villaverde, 2008"/>
    <m/>
    <m/>
    <m/>
    <m/>
    <m/>
    <m/>
  </r>
  <r>
    <n v="158"/>
    <s v=" Cueva de Levante"/>
    <x v="1"/>
    <n v="36.340077999999998"/>
    <n v="5.81"/>
    <s v="I; IIa"/>
    <s v="Solutrense"/>
    <s v="nao"/>
    <s v="N/A"/>
    <s v="silex, arenito"/>
    <s v="sim"/>
    <s v="sim"/>
    <s v="Schmidt et al. 2012;Lopez et al. 1998"/>
    <s v="fauna pouco abundante"/>
    <m/>
    <m/>
    <m/>
    <m/>
    <m/>
  </r>
  <r>
    <n v="159"/>
    <s v="El Bajondillo"/>
    <x v="1"/>
    <n v="36.621000000000002"/>
    <n v="-4.4999000000000002"/>
    <s v="Bj/14"/>
    <s v="Moustierense"/>
    <s v="nao"/>
    <s v="N/A"/>
    <s v="silex, quartzito, quartzo"/>
    <s v="sim"/>
    <s v="sim"/>
    <s v="Schmidt et al. 2012; Cortes-Sanchez et al. 2011; Zilhao, 2006; Cortes-sanchez e Vallejo, 2002"/>
    <m/>
    <m/>
    <m/>
    <m/>
    <m/>
    <m/>
  </r>
  <r>
    <n v="160"/>
    <s v="El Bajondillo"/>
    <x v="1"/>
    <n v="36.621000000000002"/>
    <n v="-4.4999000000000002"/>
    <s v=" Bj/11"/>
    <s v="Aurinhacense "/>
    <s v="sim"/>
    <m/>
    <s v="silex, quartzito, quartzo"/>
    <s v="sim"/>
    <s v="sim"/>
    <s v="Schmidt et al. 2012; Cortés-Sánchez et al. 2011; Zilhao, 2006; Cortes-Sanchez e Vallejo, 2002"/>
    <m/>
    <m/>
    <m/>
    <m/>
    <m/>
    <m/>
  </r>
  <r>
    <n v="161"/>
    <s v="El Bajondillo"/>
    <x v="1"/>
    <n v="36.621000000000002"/>
    <n v="-4.4999000000000002"/>
    <s v=" Bj/10"/>
    <s v="Gravetense "/>
    <s v="sim"/>
    <m/>
    <s v="silex, quartzito, quartzo"/>
    <s v="sim"/>
    <s v="sim"/>
    <s v="Schmidt et al. 2012; Cortés-Sánchez et al. 2011; Zilhao, 2006"/>
    <m/>
    <m/>
    <m/>
    <m/>
    <m/>
    <m/>
  </r>
  <r>
    <n v="162"/>
    <s v="El Bajondillo"/>
    <x v="1"/>
    <n v="36.621000000000002"/>
    <n v="-4.4999000000000002"/>
    <s v="Bj/9 - Bj/6"/>
    <s v=" Solutrense"/>
    <s v="sim"/>
    <m/>
    <s v="silex, quartzito, quartzo"/>
    <s v="sim"/>
    <s v="sim"/>
    <s v="Schmidt et al. 2012; Cortés-Sánchez et al. 2011; Zilhao, 2006"/>
    <m/>
    <m/>
    <m/>
    <m/>
    <m/>
    <m/>
  </r>
  <r>
    <n v="163"/>
    <s v="El Palomar"/>
    <x v="0"/>
    <n v="38.397500000000001"/>
    <n v="-2.2458999999999998"/>
    <s v="XIII-VI"/>
    <s v="Moustierense"/>
    <s v="nao"/>
    <s v="N/A"/>
    <s v="quartzito"/>
    <s v="nao"/>
    <s v="sim"/>
    <s v="Martinez, 2020; Vermeesch, 2020"/>
    <m/>
    <m/>
    <m/>
    <m/>
    <m/>
    <m/>
  </r>
  <r>
    <n v="164"/>
    <s v="El Palomar"/>
    <x v="0"/>
    <n v="38.397500000000001"/>
    <n v="-2.2458999999999998"/>
    <s v=" IV-III"/>
    <s v="Gravetense"/>
    <s v="sim"/>
    <m/>
    <s v="quartzito, calcario,silex"/>
    <s v="sim"/>
    <s v="sim"/>
    <s v="Schmidt et al. 2012; Vermeesch, 2020; Martinez, 2020"/>
    <m/>
    <m/>
    <m/>
    <m/>
    <m/>
    <m/>
  </r>
  <r>
    <n v="165"/>
    <s v="El Palomar"/>
    <x v="0"/>
    <n v="38.397500000000001"/>
    <n v="-2.2458999999999998"/>
    <s v="II-I"/>
    <s v="Solutrense"/>
    <s v="nao"/>
    <s v="N/A"/>
    <s v="silex"/>
    <s v="sim"/>
    <s v="sim"/>
    <s v="Schmidt et al. 2012; Vermeesch, 2020; Martinez, 2020"/>
    <m/>
    <m/>
    <m/>
    <m/>
    <m/>
    <m/>
  </r>
  <r>
    <n v="166"/>
    <s v=" El Pirulejo"/>
    <x v="1"/>
    <n v="37.434199999999997"/>
    <n v="-4.1837999999999997"/>
    <s v="(P4); P5"/>
    <s v="Solutrense"/>
    <s v="sim"/>
    <m/>
    <s v="silex, calcedonia"/>
    <s v="sim"/>
    <s v="sim"/>
    <s v="Schmidt et al. 2012; Vermeesch, 2020; Cortez Sanchez et al. 2019; Evora, 2015;Cortez Sánchez et al. 2017;Cortez Sánchez et al. 2008"/>
    <m/>
    <m/>
    <m/>
    <m/>
    <m/>
    <m/>
  </r>
  <r>
    <n v="167"/>
    <s v="Finca Dona Martina"/>
    <x v="0"/>
    <n v="38.078600000000002"/>
    <n v="-1.4912000000000001"/>
    <s v=" 1-5"/>
    <s v="Gravetense"/>
    <s v="nao"/>
    <s v="N/A"/>
    <s v="silex"/>
    <s v="sim"/>
    <s v="nao"/>
    <s v="Schmidt et al. 2012; Cascalheira e Bicho, 2015; Zilhao et al. 2010"/>
    <m/>
    <m/>
    <m/>
    <m/>
    <m/>
    <m/>
  </r>
  <r>
    <n v="168"/>
    <s v="Finca Dona Martina"/>
    <x v="0"/>
    <n v="38.078600000000002"/>
    <n v="-1.4912000000000001"/>
    <s v="4;5"/>
    <s v="Solutrense"/>
    <s v="sim"/>
    <m/>
    <s v="silex"/>
    <s v="sim"/>
    <s v="nao"/>
    <s v="Schmidt et al. 2012; Cascalheira e Bicho, 2015; Zilhao et al. 2010"/>
    <m/>
    <m/>
    <m/>
    <m/>
    <m/>
    <m/>
  </r>
  <r>
    <n v="169"/>
    <s v="Gorham Cave"/>
    <x v="1"/>
    <n v="36.120399999999997"/>
    <n v="-5.3421000000000003"/>
    <s v="IV, CON 16, CON 18, CON19, CON 22, CON 22d, trench 7"/>
    <s v="Moustierense "/>
    <s v="sim"/>
    <m/>
    <s v="silex, quartzito, quartzo, calcario"/>
    <s v="sim"/>
    <s v="sim"/>
    <s v="Schmidt et al. 2012; Zilhao, 2006; Finlayson et al. 2006;Finlayson et al. 2014; Rodriguez-Vidal et al. 2014"/>
    <s v="Presença de ossos humanos"/>
    <m/>
    <m/>
    <m/>
    <m/>
    <m/>
  </r>
  <r>
    <n v="170"/>
    <s v="Gorham Cave"/>
    <x v="1"/>
    <n v="36.120399999999997"/>
    <n v="-5.3421000000000003"/>
    <s v=" IV(CON9) , CON 11, CON 13a"/>
    <s v="Aurinhacense "/>
    <s v="sim"/>
    <m/>
    <s v="N/A"/>
    <s v="N/A"/>
    <s v="sim"/>
    <s v="Schmidt et al. 2012; Zilhao, 2006; Finlayson et al. 2006;Rodriguez-Vidal et al. 2014"/>
    <s v="Sem utensilios liticos arinhacenses"/>
    <m/>
    <m/>
    <m/>
    <m/>
    <m/>
  </r>
  <r>
    <n v="171"/>
    <s v="Gorham Cave"/>
    <x v="1"/>
    <n v="36.120399999999997"/>
    <n v="-5.3421000000000003"/>
    <s v="III"/>
    <s v="Gravetense"/>
    <s v="não"/>
    <s v="N/A"/>
    <s v="N/A"/>
    <s v="N/A"/>
    <s v="sim"/>
    <s v="Schmidt et al. 2012; Zilhao, 2006; Finlayson et al. 2006;Rodriguez-Vidal et al. 2014"/>
    <s v="Sem utensilios liticos gravetenses"/>
    <m/>
    <m/>
    <m/>
    <m/>
    <m/>
  </r>
  <r>
    <n v="172"/>
    <s v="Gorham Cave"/>
    <x v="1"/>
    <n v="36.120399999999997"/>
    <n v="-5.3421000000000003"/>
    <s v="IIIb"/>
    <s v="Solutrense"/>
    <s v="sim"/>
    <m/>
    <s v="silex"/>
    <s v="sim"/>
    <s v="sim"/>
    <s v="Schmidt et al. 2012; Zilhao, 2006; Finlayson et al. 2006;Rodriguez-Vidal et al. 2014"/>
    <m/>
    <m/>
    <m/>
    <m/>
    <m/>
    <m/>
  </r>
  <r>
    <n v="173"/>
    <s v="Higueral de Sierra Valleja"/>
    <x v="1"/>
    <n v="36.67577"/>
    <n v="-5.7804460000000004"/>
    <s v=" V; VI; VIII; IX;X"/>
    <s v="Moustierense"/>
    <s v="sim"/>
    <m/>
    <s v="silex"/>
    <s v="sim"/>
    <s v="sim"/>
    <s v="Schmidt et al. 2012; Vermeesch, 2020; Jennings et al. 2009"/>
    <m/>
    <m/>
    <m/>
    <m/>
    <m/>
    <m/>
  </r>
  <r>
    <n v="174"/>
    <s v="Higueral de Sierra Valleja"/>
    <x v="1"/>
    <n v="36.67577"/>
    <n v="-5.7804460000000004"/>
    <s v="IV"/>
    <s v="Gravetense"/>
    <s v="sim"/>
    <m/>
    <s v="silex"/>
    <s v="sim"/>
    <s v="sim"/>
    <s v="Schmidt et al. 2012; Vermeesch, 2020; Jennings et al. 2009"/>
    <m/>
    <m/>
    <m/>
    <m/>
    <m/>
    <m/>
  </r>
  <r>
    <n v="175"/>
    <s v="Higueral de Sierra Valleja"/>
    <x v="1"/>
    <n v="36.67577"/>
    <n v="-5.7804460000000004"/>
    <s v="III"/>
    <s v="Solutrense"/>
    <s v="nao"/>
    <s v="N/A"/>
    <s v="silex"/>
    <s v="sim"/>
    <s v="sim"/>
    <s v="canessa, 2021; Vermeesch, 2020; Jennings et al. 2009"/>
    <m/>
    <m/>
    <m/>
    <m/>
    <m/>
    <m/>
  </r>
  <r>
    <n v="176"/>
    <s v="La Fontanilla"/>
    <x v="2"/>
    <n v="36.278215000000003"/>
    <n v="-6.0927680000000004"/>
    <m/>
    <s v="Solutrense"/>
    <s v="nao"/>
    <s v="N/A"/>
    <s v="silex"/>
    <s v="sim"/>
    <s v="nao"/>
    <s v="canessa, 2021; Vermeesch, 2020; Perez Ramos et al. 2012"/>
    <m/>
    <m/>
    <m/>
    <m/>
    <m/>
    <m/>
  </r>
  <r>
    <n v="177"/>
    <s v="La Boja"/>
    <x v="0"/>
    <n v="38.078600000000002"/>
    <n v="-1.4897"/>
    <s v="Nivel A-C; Cbase/D"/>
    <s v="Gravetense"/>
    <s v="sim"/>
    <m/>
    <s v="silex, quartzito, quartzo"/>
    <s v="sim"/>
    <s v="sim"/>
    <s v="Cascalheira e Bicho, 2015; Vermeesch, 2020; Zilhao et al. 2010"/>
    <s v="Funa existente é malacofauna"/>
    <m/>
    <m/>
    <m/>
    <m/>
    <m/>
  </r>
  <r>
    <n v="178"/>
    <s v="La Boja"/>
    <x v="0"/>
    <n v="38.078600000000002"/>
    <n v="-1.4897"/>
    <s v="SW18B2; SW18B1; Nivel A-C; Cbase/D"/>
    <s v="Solutrense"/>
    <s v="sim"/>
    <m/>
    <s v="silex, quartzito, quartzo, calcedonia"/>
    <s v="sim"/>
    <s v="sim"/>
    <s v="Cascalheira e Bicho, 2015; Vermeesch, 2020; Zilhao et al. 2010"/>
    <s v="Fauna existente é malacofauna"/>
    <m/>
    <m/>
    <m/>
    <m/>
    <m/>
  </r>
  <r>
    <n v="180"/>
    <s v="Las Palomas "/>
    <x v="1"/>
    <n v="37.78"/>
    <n v="-0.91"/>
    <s v="Superficie"/>
    <s v="Gravetense"/>
    <s v="nao"/>
    <s v="N/A"/>
    <s v="silex"/>
    <s v="sim"/>
    <s v="sim"/>
    <s v="Schmidt et al. 2012; Vermeesch, 2020; Medianero et al.2011"/>
    <m/>
    <m/>
    <m/>
    <m/>
    <m/>
    <m/>
  </r>
  <r>
    <n v="181"/>
    <s v="Las Ventanas"/>
    <x v="1"/>
    <n v="37.441699999999997"/>
    <n v="-3.4283000000000001"/>
    <m/>
    <s v="Moustierense"/>
    <s v="nao"/>
    <s v="N/A"/>
    <s v="silex"/>
    <s v="sim"/>
    <s v="sim"/>
    <s v="Canessa, 2021; Vermeesch, 2020"/>
    <m/>
    <m/>
    <m/>
    <m/>
    <m/>
    <m/>
  </r>
  <r>
    <n v="182"/>
    <s v="Las Ventanas"/>
    <x v="1"/>
    <n v="37.441699999999997"/>
    <n v="-3.4283000000000001"/>
    <m/>
    <s v="Solutrense"/>
    <s v="nao"/>
    <s v="N/A"/>
    <s v="silex"/>
    <s v="sim"/>
    <s v="sim"/>
    <s v="Canessa, 2021; Vermeesch, 2020"/>
    <m/>
    <m/>
    <m/>
    <m/>
    <m/>
    <m/>
  </r>
  <r>
    <n v="183"/>
    <s v="Pantano de Cubillas"/>
    <x v="2"/>
    <n v="37.2883"/>
    <n v="-3.6625000000000001"/>
    <s v="X-XI"/>
    <s v="Solutrense"/>
    <s v="nao"/>
    <s v="N/A"/>
    <s v="silex"/>
    <s v="sim"/>
    <s v="sim"/>
    <s v="Canessa, 2021; Toro Moyano e Ramos Lizana, 1976"/>
    <m/>
    <m/>
    <m/>
    <m/>
    <m/>
    <m/>
  </r>
  <r>
    <n v="184"/>
    <s v="Pena  de la Grieta"/>
    <x v="0"/>
    <n v="37.866700000000002"/>
    <n v="-4.1833"/>
    <s v="4;5"/>
    <s v="Solutrense"/>
    <s v="nao"/>
    <s v="N/A"/>
    <s v="silex"/>
    <s v="sim"/>
    <s v="sim"/>
    <s v="Schmidt et al. 2012; Vermeesch, 2020; Cascalheira e Bicho, 2015; Canessa, 2021; Banks et al.2009;Lopez Reyes et al. 2008"/>
    <m/>
    <m/>
    <m/>
    <m/>
    <m/>
    <m/>
  </r>
  <r>
    <n v="185"/>
    <s v="Rates Penaes"/>
    <x v="2"/>
    <n v="38.93"/>
    <n v="-0.26"/>
    <s v="Sector Oeste"/>
    <s v="Solutrense"/>
    <s v="nao"/>
    <s v="N/A"/>
    <s v="silex"/>
    <s v="nao"/>
    <s v="nao"/>
    <s v="Schmidt et al. 2012;Bonilla, 197; Bonilla e Sanchez, 1981"/>
    <m/>
    <m/>
    <m/>
    <m/>
    <m/>
    <m/>
  </r>
  <r>
    <n v="186"/>
    <s v="Ratlla del Bubo"/>
    <x v="0"/>
    <n v="38.255380000000002"/>
    <n v="-0.80683800000000006"/>
    <s v="I-IV"/>
    <s v="Gravetense"/>
    <s v="sim"/>
    <m/>
    <s v="silex"/>
    <s v="sim"/>
    <s v="sim"/>
    <s v="Schmidt et al. 2012; Cascalheira e Bicho, 2015; Soler et al, 1990;Martínez-Alfaro et al. 2022"/>
    <m/>
    <m/>
    <m/>
    <m/>
    <m/>
    <m/>
  </r>
  <r>
    <n v="187"/>
    <s v="Ratlla del Bubo"/>
    <x v="0"/>
    <n v="38.255380000000002"/>
    <n v="-0.80683800000000006"/>
    <s v="I-II"/>
    <s v="Solutrense"/>
    <s v="sim"/>
    <m/>
    <s v="sillex, quartzo"/>
    <s v="sim"/>
    <s v="sim"/>
    <s v="Schmidt et al. 2012; Cascalheira e Bicho, 2015; Soler et al, 1990;Martínez-Alfaro et al. 2022"/>
    <m/>
    <m/>
    <m/>
    <m/>
    <m/>
    <m/>
  </r>
  <r>
    <n v="188"/>
    <s v="Sima de Las Palomas del Cabezo Gordo"/>
    <x v="0"/>
    <n v="37.799700000000001"/>
    <n v="-0.89670000000000005"/>
    <s v="Layer 2e;2l"/>
    <s v="Moustierense "/>
    <s v="sim"/>
    <m/>
    <s v="silex, quartzo"/>
    <s v="sim"/>
    <s v="sim"/>
    <s v="Schmidt et al. 2012; vermeersch. 2020; Zilhao, 2006; Walker et al. 2008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1"/>
    <s v="Abrigo 1 de Vale Covoes"/>
    <s v="Abrigo"/>
    <n v="40.048194000000002"/>
    <n v="-8.4987270000000006"/>
    <s v="UE8b"/>
    <x v="0"/>
    <s v="nao"/>
    <s v="N/A"/>
    <s v="quartzo, quartzito, silex"/>
    <s v="sim"/>
    <s v="sim"/>
    <s v="Cascalheira et al. 2021; Portal do Arqueologo, 2021; Pereira et al.2012"/>
    <m/>
    <m/>
    <m/>
    <m/>
    <m/>
    <m/>
  </r>
  <r>
    <n v="2"/>
    <s v="Almonda"/>
    <s v="Gruta "/>
    <n v="39.504762999999997"/>
    <n v="-8.6155200000000001"/>
    <s v="2;4"/>
    <x v="1"/>
    <s v="nao"/>
    <s v="N/A"/>
    <s v="silex, quartzo, quartzito, basalto"/>
    <s v="sim"/>
    <s v="sim"/>
    <s v="Cascalheira e Bicho. 2018;Portal do Arqueologo,2021; Zilhao, 1997"/>
    <s v="Camada 3- restos humanos dentes e fragmento de maxila"/>
    <m/>
    <m/>
    <m/>
    <m/>
    <m/>
  </r>
  <r>
    <n v="3"/>
    <s v="Azinhal"/>
    <s v="Ar livre"/>
    <n v="39.608369000000003"/>
    <n v="-7.6962770000000003"/>
    <s v=" L3"/>
    <x v="0"/>
    <s v="sim"/>
    <m/>
    <s v="quartzito"/>
    <s v="sim"/>
    <s v="nao"/>
    <s v="Cascalheira et al. 2021;Vermeersh, 2020; Almeida et al., 2008"/>
    <m/>
    <m/>
    <m/>
    <m/>
    <m/>
    <m/>
  </r>
  <r>
    <n v="4"/>
    <s v="Arneiro Cortico"/>
    <s v="Ar livre"/>
    <n v="38.887484000000001"/>
    <n v="-8.7941029999999998"/>
    <s v="superfice -terraco Q4"/>
    <x v="0"/>
    <s v="nao"/>
    <s v="N/A"/>
    <s v="quartzito"/>
    <s v="sim"/>
    <s v="nao"/>
    <s v="Cascalheira et al. 2021;Portal do Arqueologo,2021; Cardoso, 2006"/>
    <m/>
    <m/>
    <m/>
    <m/>
    <m/>
    <m/>
  </r>
  <r>
    <n v="5"/>
    <s v="Baio"/>
    <s v="Ar livre"/>
    <n v="39.083241000000001"/>
    <n v="-9.413157"/>
    <s v="superficie"/>
    <x v="1"/>
    <s v="nao"/>
    <s v="N/A"/>
    <s v="silex,  quartzo"/>
    <s v="sim"/>
    <s v="nao"/>
    <s v="Cascalheira e Bicho. 2018; Portal do Arqueologo, 2021; Zilhao, 1997"/>
    <m/>
    <m/>
    <m/>
    <m/>
    <m/>
    <m/>
  </r>
  <r>
    <n v="6"/>
    <s v="Buraca Escura"/>
    <s v="Gruta "/>
    <n v="39.979855999999998"/>
    <n v="-8.5518380000000001"/>
    <s v="2e; 2a; 2b"/>
    <x v="2"/>
    <s v="sim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7"/>
    <s v="Buraca Escura"/>
    <s v="Gruta "/>
    <n v="39.979855999999998"/>
    <n v="-8.5518380000000001"/>
    <s v=" C2f"/>
    <x v="0"/>
    <s v="sim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8"/>
    <s v="Buraca Grande"/>
    <s v="Gruta "/>
    <n v="39.980927000000001"/>
    <n v="-8.5496440000000007"/>
    <m/>
    <x v="0"/>
    <s v="nao"/>
    <s v="N/A"/>
    <s v="quartzo, quartzito"/>
    <s v="sim"/>
    <s v="sim"/>
    <s v="Schmidt et al.2012; Cascalheira et al. 2021; Vermeersh. 2021"/>
    <m/>
    <m/>
    <m/>
    <m/>
    <m/>
    <m/>
  </r>
  <r>
    <n v="9"/>
    <s v="Buraca Grande"/>
    <s v="Gruta "/>
    <n v="39.980927000000001"/>
    <n v="-8.5496440000000007"/>
    <s v="C9b"/>
    <x v="2"/>
    <s v="sim"/>
    <m/>
    <s v="quartzo, quartzito"/>
    <s v="sim"/>
    <s v="sim "/>
    <s v="Schmidt et al.2012; Cascalheira et al. 2021;Vermeersh.2021; Aubry e Moura, 1995"/>
    <m/>
    <m/>
    <m/>
    <m/>
    <m/>
    <m/>
  </r>
  <r>
    <n v="10"/>
    <s v="Buraca Grande"/>
    <s v="Gruta "/>
    <n v="39.980927000000001"/>
    <n v="-8.5496440000000007"/>
    <s v="C9b"/>
    <x v="1"/>
    <s v="sim"/>
    <m/>
    <s v="silex,quartzito, quartzo "/>
    <s v="sim"/>
    <s v="sim"/>
    <s v="Schmidt et al.2012; Cascalheira et al. 2021;Vermeersh.2021; Aubry e Moura, 1995"/>
    <m/>
    <m/>
    <m/>
    <m/>
    <m/>
    <m/>
  </r>
  <r>
    <n v="11"/>
    <s v="Casal do Cepo"/>
    <s v="Ar livre"/>
    <n v="39.426144000000001"/>
    <n v="-8.5644170000000006"/>
    <s v="L/10-11; O-P/17-18"/>
    <x v="1"/>
    <s v="nao"/>
    <s v="N/A"/>
    <s v="silex, quartzo"/>
    <s v="sim"/>
    <s v="nao"/>
    <s v="Cascalheira et al. 2018;Portal do Arqueologo, 2021; Zilhao, 1997"/>
    <m/>
    <m/>
    <m/>
    <m/>
    <m/>
    <m/>
  </r>
  <r>
    <n v="12"/>
    <s v="Chainca"/>
    <s v="Ar livre"/>
    <n v="39.417422000000002"/>
    <n v="-8.8554720000000007"/>
    <s v="superficie"/>
    <x v="3"/>
    <s v="nao"/>
    <s v="N/A"/>
    <s v="silex, quartzo, quartzito"/>
    <s v="sim"/>
    <s v="nao"/>
    <s v="Cascalheira et al. 2018; Portal do Arqueologo,2021; Thacker, 2001"/>
    <m/>
    <m/>
    <m/>
    <m/>
    <m/>
    <m/>
  </r>
  <r>
    <n v="13"/>
    <s v="Cobrinhos"/>
    <s v="Ar livre"/>
    <n v="39.670535999999998"/>
    <n v="-7.6781470000000001"/>
    <s v=" 1; 2"/>
    <x v="0"/>
    <s v="nao"/>
    <s v="N/A"/>
    <s v="quartzito, quartzo "/>
    <s v="sim"/>
    <s v="nao"/>
    <s v="Cascalheira et al. 2021, Pereira et al. 2019"/>
    <m/>
    <m/>
    <m/>
    <m/>
    <m/>
    <m/>
  </r>
  <r>
    <n v="14"/>
    <s v="Chacafre II"/>
    <s v="Ar livre"/>
    <n v="37.954926"/>
    <n v="-8.2047740000000005"/>
    <s v="sondagem diagnostico"/>
    <x v="0"/>
    <s v="nao"/>
    <s v="N/A"/>
    <s v="jaspe, quartzito, silex"/>
    <s v="não"/>
    <s v="nao"/>
    <s v="Cascalheira et al. 2021; Portal do Arqueologo, 2021; Burke et al. 2011"/>
    <m/>
    <m/>
    <m/>
    <m/>
    <m/>
    <m/>
  </r>
  <r>
    <n v="15"/>
    <s v="Conceicao"/>
    <s v="Ar livre"/>
    <n v="38.727525"/>
    <n v="-8.9881510000000002"/>
    <s v="C;D"/>
    <x v="0"/>
    <s v="sim"/>
    <m/>
    <s v="quartzo, quartzito"/>
    <s v="não"/>
    <s v="nao"/>
    <s v="Cascalheira et al. 2021; Vermeesh.2020; Raposo e Cardoso, 1998"/>
    <m/>
    <m/>
    <m/>
    <m/>
    <m/>
    <m/>
  </r>
  <r>
    <n v="16"/>
    <s v="CPM (Cabeco de Porto Marinho)"/>
    <s v="Ar livre"/>
    <n v="39.359681000000002"/>
    <n v="-8.9387860000000003"/>
    <s v="CPM IIID/F; CPM II"/>
    <x v="2"/>
    <s v="sim"/>
    <m/>
    <s v="silex, quartzo, quartzito"/>
    <s v="sim"/>
    <s v="nao"/>
    <s v="Cascalheira et al. 2018; Portal do Arqueologo,2021; Zilhao,1997"/>
    <m/>
    <m/>
    <m/>
    <m/>
    <m/>
    <m/>
  </r>
  <r>
    <n v="18"/>
    <s v="Cova da Moura"/>
    <s v="Ar livre"/>
    <n v="39.074807"/>
    <n v="-9.3977400000000006"/>
    <s v="25-50 cm"/>
    <x v="2"/>
    <s v="nao"/>
    <s v="N/A"/>
    <s v="silex, quartzo"/>
    <s v="sim"/>
    <s v="nao"/>
    <s v="Schmidt et al. 2012; Vermeersch. 2020; Zilhão. 1997"/>
    <m/>
    <m/>
    <m/>
    <m/>
    <m/>
    <m/>
  </r>
  <r>
    <n v="20"/>
    <s v="Curva do Belixe"/>
    <s v="Ar livre"/>
    <n v="37.025652999999998"/>
    <n v="-8.9860489999999995"/>
    <s v="superficie"/>
    <x v="0"/>
    <s v="nao"/>
    <s v="N/A"/>
    <s v="silex"/>
    <s v="não"/>
    <s v="nao"/>
    <s v="Cascalheira et al. 2021"/>
    <m/>
    <m/>
    <m/>
    <m/>
    <m/>
    <m/>
  </r>
  <r>
    <n v="21"/>
    <s v="Casal do Flipe"/>
    <s v="Ar livre"/>
    <n v="39.352609999999999"/>
    <n v="-8.9954339999999995"/>
    <s v=" N/A"/>
    <x v="2"/>
    <s v="nao"/>
    <s v="N/A"/>
    <s v="silex, quartzo, quartzito"/>
    <s v="sim"/>
    <s v="sim"/>
    <s v="Zilhao, 1997"/>
    <m/>
    <m/>
    <m/>
    <m/>
    <m/>
    <m/>
  </r>
  <r>
    <n v="22"/>
    <s v="Estrada do Prado"/>
    <s v="Ar livre"/>
    <n v="39.610011"/>
    <n v="-8.4141750000000002"/>
    <s v="2;7"/>
    <x v="0"/>
    <s v="nao"/>
    <s v="N/A"/>
    <s v="silex, quartzito,quartzo"/>
    <s v="sim"/>
    <s v="nao"/>
    <s v="Cascalheira et al. 2021; Portal do Arqueologo, 2021; Cardoso, 2006"/>
    <m/>
    <m/>
    <m/>
    <m/>
    <m/>
    <m/>
  </r>
  <r>
    <n v="23"/>
    <s v="Figueira Brava "/>
    <s v="Gruta "/>
    <n v="38.471193999999997"/>
    <n v="-8.9857189999999996"/>
    <s v="C2;C3"/>
    <x v="0"/>
    <s v="sim"/>
    <m/>
    <s v="silex, quartzo, quartzito"/>
    <s v="sim"/>
    <s v="sim"/>
    <s v="Shmidt et al. 2012; Cascalheira et al. 2018; Portal do Arqueologo, 2021; Antunes, 1989; Raposo e Cardoso, 2000"/>
    <m/>
    <m/>
    <m/>
    <m/>
    <m/>
    <m/>
  </r>
  <r>
    <n v="24"/>
    <s v="Fonte Santa"/>
    <s v="Ar livre"/>
    <n v="39.477682999999999"/>
    <n v="-8.5018960000000003"/>
    <s v="H-Q/22-29"/>
    <x v="2"/>
    <s v="sim"/>
    <m/>
    <s v="silex,quartzo, quartzito"/>
    <s v="sim"/>
    <s v="nao"/>
    <s v="Cascalheira et al. 2018; Zilhao, 1997"/>
    <m/>
    <m/>
    <m/>
    <m/>
    <m/>
    <m/>
  </r>
  <r>
    <n v="25"/>
    <s v="Foz do Enxarrique"/>
    <s v="Ar livre"/>
    <n v="39.649791999999998"/>
    <n v="-7.6703049999999999"/>
    <s v="T4; T5;T6"/>
    <x v="0"/>
    <s v="sim"/>
    <m/>
    <s v="quartzito, silex, quartzo"/>
    <s v="sim"/>
    <s v="sim"/>
    <s v="Cascalheira et al. 2021;Portal do Arqueologo,2021; Cunha et al., 2019; Pereira et al. 2012"/>
    <m/>
    <m/>
    <m/>
    <m/>
    <m/>
    <m/>
  </r>
  <r>
    <n v="26"/>
    <s v="Furninha"/>
    <s v="Gruta "/>
    <n v="39.356082000000001"/>
    <n v="-9.4008120000000002"/>
    <n v="5"/>
    <x v="0"/>
    <s v="nao"/>
    <s v="N/A"/>
    <s v="silex, quartzo, quartzito"/>
    <s v="sim"/>
    <s v="sim"/>
    <s v="Cascalheira et al. 2021; Portal do Arqueologo, 2021"/>
    <m/>
    <m/>
    <m/>
    <m/>
    <m/>
    <m/>
  </r>
  <r>
    <n v="27"/>
    <s v="Furninha"/>
    <s v="Gruta "/>
    <n v="39.356082000000001"/>
    <n v="-9.4008120000000002"/>
    <s v="9;10"/>
    <x v="2"/>
    <s v="nao"/>
    <s v="N/A"/>
    <s v="silex, quartzo, quartzito"/>
    <s v="sim"/>
    <s v="sim"/>
    <s v="Cascalheira et al. 2021; Portal do Arqueologo, 2021"/>
    <m/>
    <m/>
    <m/>
    <m/>
    <m/>
    <m/>
  </r>
  <r>
    <n v="28"/>
    <s v="Furninha"/>
    <s v="Gruta "/>
    <n v="39.356082000000001"/>
    <n v="-9.4008120000000002"/>
    <s v="9;10 "/>
    <x v="1"/>
    <s v="nao"/>
    <s v="N/A"/>
    <s v="silex,quartzo, quartzito"/>
    <s v="sim"/>
    <s v="sim"/>
    <s v="Cascalheira et al. 2021;Portal do Arqueologo,2021; Cardoso e Bicho, 2010"/>
    <m/>
    <m/>
    <m/>
    <m/>
    <m/>
    <m/>
  </r>
  <r>
    <n v="29"/>
    <s v="Galerias Pesadas"/>
    <s v="Gruta "/>
    <n v="39.505330999999998"/>
    <n v="-8.6152789999999992"/>
    <s v="B1; B2; C;E"/>
    <x v="0"/>
    <s v="sim"/>
    <m/>
    <s v="quartzo, silex, quartizito"/>
    <s v="sim"/>
    <s v="sim"/>
    <s v="Cascalheira et al. 2021, Portal do Arqueologo, 2021; Marks et al. 2002"/>
    <m/>
    <m/>
    <m/>
    <m/>
    <m/>
    <m/>
  </r>
  <r>
    <n v="30"/>
    <s v="Gato Preto"/>
    <s v="Ar livre"/>
    <n v="39.335690999999997"/>
    <n v="-8.930275"/>
    <s v="C; E9; A4; A6-Z4; B4"/>
    <x v="1"/>
    <s v="sim"/>
    <m/>
    <s v="silex, quartzo,quartzito"/>
    <s v="sim"/>
    <s v="nao"/>
    <s v="Cascalheira et al. 2018;Portal do Arqueologo, 2021"/>
    <m/>
    <m/>
    <m/>
    <m/>
    <m/>
    <m/>
  </r>
  <r>
    <n v="31"/>
    <s v="Gasparoes"/>
    <s v="Ar livre"/>
    <n v="37.992100000000001"/>
    <n v="-8.2592999999999996"/>
    <s v="sondagem diagnostico"/>
    <x v="0"/>
    <s v="sim"/>
    <m/>
    <s v="quartzito, quartzo"/>
    <s v="sim"/>
    <s v="nao"/>
    <s v="Cascalheira et al, 2021; Burke et al., 2011; Vermeech, 2020"/>
    <m/>
    <m/>
    <m/>
    <m/>
    <m/>
    <m/>
  </r>
  <r>
    <n v="32"/>
    <s v=" Gruta da Casa da Moura"/>
    <s v="Gruta "/>
    <n v="39.324385999999997"/>
    <n v="-9.2548030000000008"/>
    <s v="Nivel 1b, Deposito inferior"/>
    <x v="2"/>
    <s v="sim"/>
    <m/>
    <s v="silex, quartzito"/>
    <s v="não"/>
    <s v="sim"/>
    <s v="Schmidt et al. 2012;Portal do Arqueologo, 2021; Zilhao, 1997"/>
    <m/>
    <m/>
    <m/>
    <m/>
    <m/>
    <m/>
  </r>
  <r>
    <n v="33"/>
    <s v="Gruta da Companheira"/>
    <s v="Gruta "/>
    <n v="37.152886000000002"/>
    <n v="-8.523358"/>
    <s v="R1"/>
    <x v="0"/>
    <s v="nao"/>
    <s v="N/A"/>
    <s v="quartzo"/>
    <s v="não"/>
    <s v="sim"/>
    <s v="Cascalheira et al. 2021; Portal do Arqueologo, 2021"/>
    <m/>
    <m/>
    <m/>
    <m/>
    <m/>
    <m/>
  </r>
  <r>
    <n v="34"/>
    <s v="Gruta da Oliveira"/>
    <s v="Gruta "/>
    <n v="39.504589000000003"/>
    <n v="-8.6160759999999996"/>
    <s v="8;  9; 11"/>
    <x v="0"/>
    <s v="sim"/>
    <m/>
    <s v="silex, quartzito, quartzo"/>
    <s v="sim"/>
    <s v="sim"/>
    <s v="Schmidt et al. 2012; Cascalheira et al. 2021;Portal do Arqueologo,2021; Marks et al, 2001"/>
    <m/>
    <m/>
    <m/>
    <m/>
    <m/>
    <m/>
  </r>
  <r>
    <n v="35"/>
    <s v="Gruta Nova da Columbeira"/>
    <s v="Gruta "/>
    <n v="39.297908999999997"/>
    <n v="-9.2002269999999999"/>
    <s v="Nivel 4-9"/>
    <x v="0"/>
    <s v="sim"/>
    <m/>
    <s v="quartzo, quartzito, silex"/>
    <s v="sim"/>
    <s v="sim"/>
    <s v="Schmidt et al.2012;Portal do Arqueologo,2021; Raposo e Cardoso, 1998"/>
    <m/>
    <m/>
    <m/>
    <m/>
    <m/>
    <m/>
  </r>
  <r>
    <n v="36"/>
    <s v="Gruta das Salemas"/>
    <s v="Gruta "/>
    <n v="38.875754999999998"/>
    <n v="-9.2033930000000002"/>
    <s v="Nivel IV"/>
    <x v="0"/>
    <s v="sim"/>
    <m/>
    <s v="silex, quartzo"/>
    <s v="sim"/>
    <s v="sim"/>
    <s v="Schmidt et al. 2012; Cascalheira et al. 2021;Portal do Arqueologo, 2021"/>
    <m/>
    <m/>
    <m/>
    <m/>
    <m/>
    <m/>
  </r>
  <r>
    <n v="37"/>
    <s v="Gruta das Salemas"/>
    <s v="Gruta "/>
    <n v="38.875754999999998"/>
    <n v="-9.2033930000000002"/>
    <s v="Nivel III"/>
    <x v="3"/>
    <s v="nao"/>
    <s v="N/A"/>
    <s v="silex, quartzo"/>
    <s v="sim"/>
    <s v="sim"/>
    <s v="Schmidt et al. 2012; Cascalheira et al. 2021; Portal do Arqueologo 2021"/>
    <m/>
    <m/>
    <m/>
    <m/>
    <m/>
    <m/>
  </r>
  <r>
    <n v="38"/>
    <s v="Gruta das Salemas"/>
    <s v="Gruta "/>
    <n v="38.875754999999998"/>
    <n v="-9.2033930000000002"/>
    <s v="Nivel III"/>
    <x v="2"/>
    <s v="nao"/>
    <s v="N/A"/>
    <s v="silex, quartzo"/>
    <s v="sim"/>
    <s v="sim"/>
    <s v="Schmidt et al. 2012; Cascalheira et al. 2021; Portal do Arqueologo 2021"/>
    <m/>
    <m/>
    <m/>
    <m/>
    <m/>
    <m/>
  </r>
  <r>
    <n v="39"/>
    <s v="Gruta de Ibn Ammar"/>
    <s v="Gruta "/>
    <n v="37.156103000000002"/>
    <n v="-8.5000750000000007"/>
    <s v="sifao"/>
    <x v="0"/>
    <s v="nao"/>
    <s v="N/A"/>
    <s v="silex, quartzo, quartzito, calcario"/>
    <s v="não"/>
    <s v="sim"/>
    <s v="Cascalheira et al. 2021, Maio, 2018;"/>
    <m/>
    <m/>
    <m/>
    <m/>
    <m/>
    <m/>
  </r>
  <r>
    <n v="40"/>
    <s v="Gruta do Caldeirao"/>
    <s v="Gruta "/>
    <n v="39.648547000000001"/>
    <n v="-8.4156370000000003"/>
    <s v=" K"/>
    <x v="0"/>
    <s v="sim"/>
    <m/>
    <s v="silex"/>
    <s v="sim"/>
    <s v="sim"/>
    <s v="Schmidt et al. 2012; Cascalheira et al. 2021; Zilhao, 1997"/>
    <m/>
    <m/>
    <m/>
    <m/>
    <m/>
    <m/>
  </r>
  <r>
    <n v="41"/>
    <s v="Gruta do Caldeirao"/>
    <s v="Gruta "/>
    <n v="39.648547000000001"/>
    <n v="-8.4156370000000003"/>
    <s v=" J a; Jb"/>
    <x v="2"/>
    <s v="nao"/>
    <s v="N/A"/>
    <s v="silex"/>
    <s v="sim"/>
    <s v="sim"/>
    <s v="Schmidt et al. 2012; Cascalheira et al. 2021;Zilhao, 1997"/>
    <m/>
    <m/>
    <m/>
    <m/>
    <m/>
    <m/>
  </r>
  <r>
    <n v="42"/>
    <s v="Gruta do Caldeirao"/>
    <s v="Gruta "/>
    <n v="39.648547000000001"/>
    <n v="-8.4156370000000003"/>
    <s v="Fc; H;  Fa; Fb;Eb"/>
    <x v="1"/>
    <s v="sim"/>
    <m/>
    <s v="silex"/>
    <s v="sim"/>
    <s v="sim"/>
    <s v="Schmidt et al. 2012; Cascalheira et al. 2021;Zilhao, 1997"/>
    <m/>
    <m/>
    <m/>
    <m/>
    <m/>
    <m/>
  </r>
  <r>
    <n v="43"/>
    <s v="Gruta do Correio Mor"/>
    <s v="Gruta "/>
    <n v="38.826740000000001"/>
    <n v="-9.1871589999999994"/>
    <s v="Nivel IV"/>
    <x v="0"/>
    <s v="nao"/>
    <s v="N/A"/>
    <s v="silex "/>
    <s v="não"/>
    <s v="nao"/>
    <s v="Cascalheira et al. 2021; Portal do Arqueologo, 2021; Zebyszewski et al. 1987"/>
    <m/>
    <m/>
    <m/>
    <m/>
    <m/>
    <m/>
  </r>
  <r>
    <n v="44"/>
    <s v="Gruta do Correio Mor"/>
    <s v="Gruta "/>
    <n v="38.826740000000001"/>
    <n v="-9.1871589999999994"/>
    <s v="Nivel II e III"/>
    <x v="1"/>
    <s v="nao"/>
    <s v="N/A"/>
    <s v="silex  "/>
    <s v="sim"/>
    <s v="sim"/>
    <s v="Cascalheira et al. 2021; Portal do Arqueologo, 2021; Zebyszewski et al. 1987"/>
    <m/>
    <m/>
    <m/>
    <m/>
    <m/>
    <m/>
  </r>
  <r>
    <n v="45"/>
    <s v="Gruta do Escoural"/>
    <s v="Gruta "/>
    <n v="38.543540999999998"/>
    <n v="-8.1376559999999998"/>
    <s v=" 2-3"/>
    <x v="0"/>
    <s v="sim"/>
    <m/>
    <s v="quartzo, quartzito, silex"/>
    <s v="sim"/>
    <s v="sim"/>
    <s v="Shmidt et al. 2012; Cascalheira et al. 2021; Portal do Arqueologo, 2021;Zilhao, 1997"/>
    <m/>
    <m/>
    <m/>
    <m/>
    <m/>
    <m/>
  </r>
  <r>
    <n v="46"/>
    <s v="Gruta do Escoural"/>
    <s v="Gruta "/>
    <n v="38.543540999999998"/>
    <n v="-8.1376559999999998"/>
    <s v=" 2-3"/>
    <x v="1"/>
    <s v="sim"/>
    <m/>
    <s v="quartzo, quartzito, silex"/>
    <s v="sim"/>
    <s v="sim"/>
    <s v="Schmidt et al. 2012; Cascalheira et al. 2021;Portal do Arqueologo, 2021; Zilhao, 1997"/>
    <m/>
    <m/>
    <m/>
    <m/>
    <m/>
    <m/>
  </r>
  <r>
    <n v="47"/>
    <s v="Gruta do Ourao"/>
    <s v="Gruta "/>
    <n v="40.022962"/>
    <n v="-8.5800049999999999"/>
    <s v="Superficie (seccao 4 e 5)"/>
    <x v="1"/>
    <s v="nao"/>
    <s v="N/A"/>
    <s v="silex,quartzo, quartzito"/>
    <s v="sim"/>
    <s v="sim"/>
    <s v="Schmidt et al. 2012, cascalheira et al. 2018; Cascalheira et al. 2021; Portal do Arqueologo, 2021;Zilhao, 1997"/>
    <m/>
    <m/>
    <m/>
    <m/>
    <m/>
    <m/>
  </r>
  <r>
    <n v="48"/>
    <s v="Grutas do Poco Velho"/>
    <s v="Gruta "/>
    <n v="38.700251999999999"/>
    <n v="-9.4210639999999994"/>
    <n v="2"/>
    <x v="1"/>
    <s v="sim"/>
    <m/>
    <s v="quartzo"/>
    <s v="sim"/>
    <s v="sim"/>
    <s v="Schmidt et al. 2012; Portal do Arqueologo, 2021; Zilhao, 1997"/>
    <s v="Do material solutrense faziam parte apenas duas peças (folha de loureiro e ponta de pendunculo)"/>
    <m/>
    <m/>
    <m/>
    <m/>
    <m/>
  </r>
  <r>
    <n v="49"/>
    <s v="Lagar velho"/>
    <s v="Abrigo"/>
    <n v="39.755453000000003"/>
    <n v="-8.7347350000000006"/>
    <s v="TP06"/>
    <x v="2"/>
    <s v="sim"/>
    <m/>
    <s v="quartzito, silex, quartzo"/>
    <s v="sim"/>
    <s v="sim"/>
    <s v="Schmidt et al. 2012; Cascalheira e Bicho, 2018; Zilhao e Trinkaus, 2002"/>
    <m/>
    <m/>
    <m/>
    <m/>
    <m/>
    <m/>
  </r>
  <r>
    <n v="52"/>
    <s v="Lagar velho"/>
    <s v="Abrigo"/>
    <n v="39.755453000000003"/>
    <n v="-8.7347350000000006"/>
    <s v="TP09"/>
    <x v="1"/>
    <s v="sim"/>
    <m/>
    <s v="silex, quartzito, quartzo"/>
    <s v="sim"/>
    <s v="sim"/>
    <s v="Schmidt et al. 2012; Cascalheira et al. 2018; Zilhao e Trinkaus, 2002"/>
    <m/>
    <m/>
    <m/>
    <m/>
    <m/>
    <m/>
  </r>
  <r>
    <n v="53"/>
    <s v="Lagoa do Bando"/>
    <s v="Ar livre"/>
    <n v="39.615566999999999"/>
    <n v="-7.9876909999999999"/>
    <s v=" P"/>
    <x v="0"/>
    <s v="nao"/>
    <s v="N/A"/>
    <s v="quartzito, silex"/>
    <s v="sim"/>
    <s v="nao"/>
    <s v="Cascalheira et al. 2021; Portal do Arqueologo, 2021; Peca  et al. 2013"/>
    <m/>
    <m/>
    <m/>
    <m/>
    <m/>
    <m/>
  </r>
  <r>
    <n v="54"/>
    <s v="Lagoa Funda 1 "/>
    <s v="Ar livre"/>
    <n v="37.129956"/>
    <n v="-8.8992190000000004"/>
    <s v="superficie"/>
    <x v="0"/>
    <s v="nao"/>
    <s v="N/A"/>
    <s v="quartzo, quartzito, silex"/>
    <s v="sim"/>
    <s v="nao"/>
    <s v="Cascalheira et al. 2021; Maio, 2018; Portal do Arqueologo, 2021"/>
    <m/>
    <m/>
    <m/>
    <m/>
    <m/>
    <m/>
  </r>
  <r>
    <n v="55"/>
    <s v="Lagoa Funda 2"/>
    <s v="Ar livre"/>
    <n v="37.123168"/>
    <n v="-8.8898109999999999"/>
    <s v="superficie"/>
    <x v="0"/>
    <s v="nao"/>
    <s v="N/A"/>
    <s v="quartzo, quartzito, silex"/>
    <s v="sim"/>
    <s v="nao"/>
    <s v="Cascalheira et al. 2021, Maio, 2018;Portal do Arqueologo 2021"/>
    <m/>
    <m/>
    <m/>
    <m/>
    <m/>
    <m/>
  </r>
  <r>
    <n v="56"/>
    <s v="Lagoa do Bordoal"/>
    <s v="Ar livre"/>
    <n v="37.113768999999998"/>
    <n v="-8.8801539999999992"/>
    <s v="superficie"/>
    <x v="0"/>
    <s v="sim"/>
    <m/>
    <s v="quartzo, quartzito, silex"/>
    <s v="sim"/>
    <s v="nao"/>
    <s v="Cascalheira et al. 2021, Maio, 2018, Portal do Arqueologo, 2021"/>
    <m/>
    <m/>
    <m/>
    <m/>
    <m/>
    <m/>
  </r>
  <r>
    <n v="57"/>
    <s v="Lapa da Rainha"/>
    <s v="Gruta "/>
    <n v="39.181269"/>
    <n v="-9.3252459999999999"/>
    <s v="4; 5"/>
    <x v="1"/>
    <s v="sim"/>
    <m/>
    <s v="silex"/>
    <s v="sim"/>
    <s v="sim"/>
    <s v="Cascalheira et al. 2018; portal do Arqueologo,2021; Zilhao,1997"/>
    <m/>
    <m/>
    <m/>
    <m/>
    <m/>
    <m/>
  </r>
  <r>
    <n v="58"/>
    <s v="Lapa do Anecrial"/>
    <s v="Abrigo"/>
    <n v="39.540736000000003"/>
    <s v="´- 8,757269"/>
    <n v="3"/>
    <x v="2"/>
    <s v="sim"/>
    <m/>
    <s v="silex, quartzo"/>
    <s v="sim"/>
    <s v="sim"/>
    <s v="Schmidt et al. 2012;Portal do Arqueologo, 2021"/>
    <m/>
    <m/>
    <m/>
    <m/>
    <m/>
    <m/>
  </r>
  <r>
    <n v="59"/>
    <s v="Lapa do Anecrial"/>
    <s v="Abrigo"/>
    <n v="39.540736000000003"/>
    <n v="-8.7572690000000009"/>
    <s v="1;2"/>
    <x v="1"/>
    <s v="sim"/>
    <m/>
    <s v="silex, quartzo"/>
    <s v="sim"/>
    <s v="sim"/>
    <s v="Schmidt et al. 2012; Portal do Arqueologo, 2021"/>
    <m/>
    <m/>
    <m/>
    <m/>
    <m/>
    <m/>
  </r>
  <r>
    <n v="60"/>
    <s v="Lapa do Picareiro"/>
    <s v="Gruta "/>
    <n v="39.531669999999998"/>
    <n v="-8.6542399999999997"/>
    <s v=" O; R; S; T"/>
    <x v="1"/>
    <s v="sim"/>
    <m/>
    <s v="quartzo, quartzito"/>
    <s v="sim"/>
    <s v="sim"/>
    <s v="cascalheira et al. 2018; Cascalheira et al. 2021;Portal do Arqueologo, 2021"/>
    <m/>
    <m/>
    <m/>
    <m/>
    <m/>
    <m/>
  </r>
  <r>
    <n v="61"/>
    <s v="Lapa do Suao"/>
    <s v="Gruta "/>
    <n v="39.299129999999998"/>
    <n v="-9.2006099999999993"/>
    <s v="Nivel 8-9"/>
    <x v="1"/>
    <s v="nao"/>
    <s v="N/A"/>
    <s v="silex, anfibolito, xisto"/>
    <s v="sim"/>
    <s v="nao"/>
    <s v="Schmidt et al. 2012; Portal do Arqueologo, 2021; Zilhao, 1997; Furtado et al. 1969"/>
    <m/>
    <m/>
    <m/>
    <m/>
    <m/>
    <m/>
  </r>
  <r>
    <n v="62"/>
    <s v="Lapa dos Furos"/>
    <s v="Gruta "/>
    <n v="39.682944999999997"/>
    <n v="-8.4361759999999997"/>
    <n v="4"/>
    <x v="0"/>
    <s v="sim"/>
    <m/>
    <s v="silex"/>
    <s v="não"/>
    <s v="sim"/>
    <s v="Schmidt et al. 2012;Cascalheira et al. 2021;Portal do Arqueologo, 2021; Cardoso, 2006"/>
    <m/>
    <m/>
    <m/>
    <m/>
    <m/>
    <m/>
  </r>
  <r>
    <n v="63"/>
    <s v="Mina do Paco"/>
    <s v="Ar livre"/>
    <n v="37.933999999999997"/>
    <n v="-8.0869999999999997"/>
    <s v="superficie"/>
    <x v="0"/>
    <s v="nao"/>
    <s v="N/A"/>
    <s v="jaspe, quartzito"/>
    <s v="sim"/>
    <s v="nao"/>
    <s v="Cascalheira et al. 2021; Burke et al, 2011"/>
    <m/>
    <m/>
    <m/>
    <m/>
    <m/>
    <m/>
  </r>
  <r>
    <n v="64"/>
    <s v="Mira Nascente"/>
    <s v="Ar livre"/>
    <n v="39.706026000000001"/>
    <n v="-9.0498779999999996"/>
    <s v="MN3a; MN3b"/>
    <x v="0"/>
    <s v="nao"/>
    <s v="N/A"/>
    <s v="silex"/>
    <s v="sim"/>
    <s v="nao"/>
    <s v="Cascalheira et al. 2021; Portal do Arqueologo, 2021; Haws et al. 2010"/>
    <m/>
    <m/>
    <m/>
    <m/>
    <m/>
    <m/>
  </r>
  <r>
    <n v="65"/>
    <s v="Moinhos 1"/>
    <s v="Ar livre"/>
    <n v="37.9116"/>
    <n v="-8.2492000000000001"/>
    <s v="superficie"/>
    <x v="0"/>
    <s v="nao"/>
    <s v="N/A"/>
    <s v="quartzo, quartzito"/>
    <s v="sim"/>
    <s v="nao"/>
    <s v="Cascalheira et al. 2021; Burke et al, 2011"/>
    <m/>
    <m/>
    <m/>
    <m/>
    <m/>
    <m/>
  </r>
  <r>
    <n v="66"/>
    <s v="Moinhos 2"/>
    <s v="Ar livre"/>
    <n v="37.9116"/>
    <n v="-8.2492000000000001"/>
    <s v="superficie"/>
    <x v="0"/>
    <s v="nao"/>
    <s v="N/A"/>
    <s v="quartzo, quartzito"/>
    <s v="sim"/>
    <s v="nao"/>
    <s v="Cascalheira et al. 2021; Burke et al, 2011"/>
    <m/>
    <m/>
    <m/>
    <m/>
    <m/>
    <m/>
  </r>
  <r>
    <n v="67"/>
    <s v="Monte Penedo 1"/>
    <s v="Ar livre"/>
    <n v="39.508730999999997"/>
    <n v="-8.0401989999999994"/>
    <s v="superficie "/>
    <x v="0"/>
    <s v="nao"/>
    <s v="N/A"/>
    <s v="quartzito"/>
    <s v="sim"/>
    <s v="nao"/>
    <s v="Cascalheira et al. 2021; Portal do Arqueologo, 2021"/>
    <m/>
    <m/>
    <m/>
    <m/>
    <m/>
    <m/>
  </r>
  <r>
    <n v="68"/>
    <s v="Monte da Fainha"/>
    <s v="Ar livre"/>
    <n v="39.758595999999997"/>
    <n v="-7.6937734000000004"/>
    <s v="1-2m"/>
    <x v="1"/>
    <s v="nao"/>
    <s v="N/A"/>
    <s v="silex, quartzo, xisto"/>
    <s v="não"/>
    <s v="nao"/>
    <s v="Zilhao, 1997"/>
    <m/>
    <m/>
    <m/>
    <m/>
    <m/>
    <m/>
  </r>
  <r>
    <n v="69"/>
    <s v="Olival da Carneira"/>
    <s v="Ar livre"/>
    <n v="39.346559999999997"/>
    <n v="-8.9303810000000006"/>
    <n v="5"/>
    <x v="1"/>
    <s v="nao"/>
    <s v="N/A"/>
    <s v="silex , quartzo, quzrtzito"/>
    <s v="sim"/>
    <s v="nao"/>
    <s v="Zilhao, 1997"/>
    <m/>
    <m/>
    <m/>
    <m/>
    <m/>
    <m/>
  </r>
  <r>
    <n v="70"/>
    <s v="Passal"/>
    <s v="Ar livre"/>
    <n v="39.316215999999997"/>
    <n v="-8.841742"/>
    <s v="B2(2;3); S1 (3)"/>
    <x v="1"/>
    <s v="nao"/>
    <s v="N/A"/>
    <s v="silex"/>
    <s v="nao"/>
    <s v="nao"/>
    <s v="Zilhao, 1997"/>
    <m/>
    <m/>
    <m/>
    <m/>
    <m/>
    <m/>
  </r>
  <r>
    <n v="71"/>
    <s v="Pedrogao"/>
    <s v="Ar livre"/>
    <n v="39.919176999999998"/>
    <n v="-8.9535900000000002"/>
    <s v="superficie"/>
    <x v="0"/>
    <s v="nao"/>
    <s v="N/A"/>
    <s v="quartzito, silex"/>
    <s v="nao"/>
    <s v="nao"/>
    <s v="Cascalheira et al. 2021; Portal do Arqueologo, 2021; Pereira et al, 2012"/>
    <m/>
    <m/>
    <m/>
    <m/>
    <m/>
    <m/>
  </r>
  <r>
    <n v="72"/>
    <s v="Pego do Diabo"/>
    <s v="Gruta "/>
    <n v="38.863075000000002"/>
    <n v="-9.2207150000000002"/>
    <s v="3;4"/>
    <x v="0"/>
    <s v="nao"/>
    <s v="N/A"/>
    <s v="silex, quartzo"/>
    <s v="nao"/>
    <s v="nao"/>
    <s v="Schmidt et al. 2012; Cascalheira et al. 2021;Portal do Arqueologo, 2021;Zilhao, 1997"/>
    <m/>
    <m/>
    <m/>
    <m/>
    <m/>
    <m/>
  </r>
  <r>
    <n v="73"/>
    <s v="Pego do Diabo"/>
    <s v="Gruta "/>
    <n v="38.863075000000002"/>
    <n v="-9.2207150000000002"/>
    <s v="2 (spit 2b)"/>
    <x v="3"/>
    <s v="sim"/>
    <m/>
    <s v="silex"/>
    <s v="sim"/>
    <s v="sim"/>
    <s v="Schmidt et al. 2012; Cascalheira et al. 2021;Portal do Arqueologo, 2021;Zilhao, 1997"/>
    <m/>
    <m/>
    <m/>
    <m/>
    <m/>
    <m/>
  </r>
  <r>
    <n v="74"/>
    <s v="Porto Meirinho"/>
    <s v="Ar livre"/>
    <n v="39.279102999999999"/>
    <n v="-7.4073799999999999"/>
    <s v="Sondagem 2: UE5; A-C/7-9; camda 1 e 2"/>
    <x v="0"/>
    <s v="nao"/>
    <s v="N/A"/>
    <s v="quartzito"/>
    <s v="nao"/>
    <s v="nao"/>
    <s v="Cascalheira et al.2021; Portal do Arqueologo, 2021; Pereira et al., 2012"/>
    <m/>
    <m/>
    <m/>
    <m/>
    <m/>
    <m/>
  </r>
  <r>
    <n v="75"/>
    <s v="Praia da Gale"/>
    <s v="Ar livre"/>
    <n v="37.087592000000001"/>
    <n v="-8.3214760000000005"/>
    <s v="superficie"/>
    <x v="0"/>
    <s v="nao"/>
    <s v="N/A"/>
    <s v="quartzo, quartzito, silex"/>
    <s v="sim"/>
    <s v="nao"/>
    <s v="Cascalheira et al. 2021;Portal do Arqueologo, 2021"/>
    <m/>
    <m/>
    <m/>
    <m/>
    <m/>
    <m/>
  </r>
  <r>
    <n v="76"/>
    <s v="Praia Rei Cortico"/>
    <s v="Ar livre"/>
    <n v="39.422767"/>
    <n v="-9.2435109999999998"/>
    <s v="PC2b; PC4;PC5b; PC5c"/>
    <x v="0"/>
    <s v="sim"/>
    <m/>
    <s v="quartzo, quartzito"/>
    <s v="sim"/>
    <s v="nao"/>
    <s v="Portal do Arqueologo, 2021"/>
    <s v="Segundo o Portal do Arqueologo este sítio tem peças em carvão"/>
    <m/>
    <m/>
    <m/>
    <m/>
    <m/>
  </r>
  <r>
    <n v="77"/>
    <s v="Ribeira da Atalaia"/>
    <s v="Ar livre"/>
    <n v="39.473810999999998"/>
    <n v="-8.4619250000000008"/>
    <s v=" Q4"/>
    <x v="0"/>
    <s v="sim"/>
    <m/>
    <s v="quartzito"/>
    <s v="sim"/>
    <s v="nao"/>
    <s v="Cascalheira et al., 2021; Portal do Arqueologo, 2021; Oosterbeek et al. 2020"/>
    <m/>
    <m/>
    <m/>
    <m/>
    <m/>
    <m/>
  </r>
  <r>
    <n v="78"/>
    <s v="Ribeira da Atalaia"/>
    <s v="Ar livre"/>
    <n v="39.473810999999998"/>
    <n v="-8.4619250000000008"/>
    <s v="Q3"/>
    <x v="2"/>
    <s v="sim"/>
    <m/>
    <s v="quartzito, silex"/>
    <s v="sim"/>
    <s v="nao"/>
    <s v="Cascalheira et al. 2021; Portal do Arqueologo, 2021; Oosterbeek et al. 2020"/>
    <m/>
    <m/>
    <m/>
    <m/>
    <m/>
    <m/>
  </r>
  <r>
    <n v="79"/>
    <s v="Santa Cita"/>
    <s v="Ar livre"/>
    <n v="39.552415000000003"/>
    <n v="-8.3903470000000002"/>
    <s v=" B; C"/>
    <x v="0"/>
    <s v="nao"/>
    <s v="N/A"/>
    <s v="quartzo, quartzito, silex"/>
    <s v="nao"/>
    <s v="nao"/>
    <s v="Cascalheira et al.2021; Portal do Arqueologo, 2021; Pedergnana et al. 2011"/>
    <m/>
    <m/>
    <m/>
    <m/>
    <m/>
    <m/>
  </r>
  <r>
    <n v="80"/>
    <s v="Santo Antao do Tojal"/>
    <s v="Ar livre"/>
    <n v="38.858704000000003"/>
    <n v="-9.1427589999999999"/>
    <s v="Niveis 1-5"/>
    <x v="0"/>
    <s v="sim"/>
    <m/>
    <s v="silex, quartzo, quartzito"/>
    <s v="sim"/>
    <s v="sim"/>
    <s v="Cascalheira et al. 2021; Portal do Arqueologo, 2021, Raposo, 1995"/>
    <m/>
    <m/>
    <m/>
    <m/>
    <m/>
    <m/>
  </r>
  <r>
    <n v="81"/>
    <s v="Sapateiros 2"/>
    <s v="Ar livre"/>
    <n v="38.404792"/>
    <n v="-7.3819710000000001"/>
    <s v="3; 4 "/>
    <x v="0"/>
    <s v="nao"/>
    <s v="N/A"/>
    <s v="quartzito, quartzo"/>
    <s v="sim"/>
    <s v="nao"/>
    <s v="Cascalheira et al, 2021; Portal do Arqueologo, 2021, Cunha Ribeiro e Cura, 2013"/>
    <m/>
    <m/>
    <m/>
    <m/>
    <m/>
    <m/>
  </r>
  <r>
    <n v="82"/>
    <s v="Tapada do Montinho"/>
    <s v="Ar livre"/>
    <n v="39.912013000000002"/>
    <n v="-7.6900219999999999"/>
    <s v="C3"/>
    <x v="0"/>
    <s v="nao"/>
    <s v="N/A"/>
    <s v="silex, quartzito, quartzo"/>
    <s v="sim"/>
    <s v="nao"/>
    <s v="Cascalheira et al, 2021; Portal do Arqueologo, 2021, Almeida et al, 2011"/>
    <m/>
    <m/>
    <m/>
    <m/>
    <m/>
    <m/>
  </r>
  <r>
    <n v="83"/>
    <s v="Terra do Jose Pereira"/>
    <s v="Ar livre"/>
    <n v="39.342095999999998"/>
    <n v="-8.9927229999999998"/>
    <s v="superficie"/>
    <x v="1"/>
    <s v="nao"/>
    <s v="N/A"/>
    <s v="silex, quartzo"/>
    <s v="sim"/>
    <s v="nao"/>
    <s v="Cascalheira et al. 2018; portal do Arqueologo,2021; Zilhao,1997"/>
    <m/>
    <m/>
    <m/>
    <m/>
    <m/>
    <m/>
  </r>
  <r>
    <n v="84"/>
    <s v="Terra do Manuel "/>
    <s v="Ar livre"/>
    <n v="39.344776000000003"/>
    <n v="-8.9912960000000002"/>
    <s v="3; 5"/>
    <x v="2"/>
    <s v="sim"/>
    <m/>
    <s v="quartzito, silex"/>
    <s v="sim"/>
    <s v="sim"/>
    <s v="Cascalheira et al. 2018;Portal do Arqueologo, 2021; Zilhao, 1997"/>
    <m/>
    <m/>
    <m/>
    <m/>
    <m/>
    <m/>
  </r>
  <r>
    <n v="85"/>
    <s v="Terra do Manuel "/>
    <s v="Ar livre"/>
    <n v="39.344776000000003"/>
    <n v="-8.9912960000000002"/>
    <n v="2"/>
    <x v="1"/>
    <s v="sim"/>
    <m/>
    <s v="quartzito, silex"/>
    <s v="sim"/>
    <s v="sim"/>
    <s v="Cascalheira et al. 2018; portal do Arqueologo,2021; Zilhao,1997"/>
    <m/>
    <m/>
    <m/>
    <m/>
    <m/>
    <m/>
  </r>
  <r>
    <n v="86"/>
    <s v="Vale Boi"/>
    <s v="Abrigo"/>
    <n v="37.090102999999999"/>
    <n v="-8.8042549999999995"/>
    <s v="C1 (rockshelter); 3 (slope); 4 (terrace)"/>
    <x v="2"/>
    <s v="sim"/>
    <m/>
    <s v="quartzo, silex"/>
    <s v="sim"/>
    <s v="sim"/>
    <s v="Schmidt et al. 2012;Portal do Arqueologo, 2021"/>
    <m/>
    <m/>
    <m/>
    <m/>
    <m/>
    <m/>
  </r>
  <r>
    <n v="87"/>
    <s v="Vale Boi"/>
    <s v="Abrigo"/>
    <n v="37.090102999999999"/>
    <n v="-8.8042549999999995"/>
    <s v=" 2 (slope); A (base, rockshelter); B6 (rockshelter)"/>
    <x v="1"/>
    <s v="sim"/>
    <m/>
    <s v="quartzo, silex"/>
    <s v="sim"/>
    <s v="sim"/>
    <s v="Schmidt et al. 2012;Portal do Arqueologo, 2021"/>
    <m/>
    <m/>
    <m/>
    <m/>
    <m/>
    <m/>
  </r>
  <r>
    <n v="88"/>
    <s v="Vale Comprido - Barraca"/>
    <s v="Ar livre"/>
    <n v="39.328778999999997"/>
    <n v="-8.9827790000000007"/>
    <s v="N/A"/>
    <x v="2"/>
    <s v="nao"/>
    <s v="N/A"/>
    <s v="silex, quartzo"/>
    <s v="sim"/>
    <s v="sim"/>
    <s v="Cascalheira et al. 2018; portal do Arqueologo,2021;Zilhao, 1997"/>
    <m/>
    <m/>
    <m/>
    <m/>
    <m/>
    <m/>
  </r>
  <r>
    <n v="89"/>
    <s v="Vale Comprido - Cruzamento"/>
    <s v="Ar livre"/>
    <n v="39.328403000000002"/>
    <n v="-8.9820340000000005"/>
    <s v="X-X7; A (9-14);B(9-13);C(10-14);D(10-14);E(12,14);F12"/>
    <x v="2"/>
    <s v="sim"/>
    <m/>
    <s v="silex, quartzo, quartzito, basalto"/>
    <s v="sim"/>
    <s v="nao"/>
    <s v="Cascalheira et al. 2018; portal do Arqueologo,2021; Zilhao,1997"/>
    <m/>
    <m/>
    <m/>
    <m/>
    <m/>
    <m/>
  </r>
  <r>
    <n v="90"/>
    <s v="Vale Comprido - Encosta"/>
    <s v="Ar livre"/>
    <n v="39.328150000000001"/>
    <n v="-8.9831430000000001"/>
    <s v="A-F"/>
    <x v="1"/>
    <s v="nao "/>
    <s v="N/A"/>
    <s v="silex, quartzo,quartzito"/>
    <s v="sim"/>
    <s v="nao"/>
    <s v="Cascalheira et al. 2018; portal do Arqueologo,2021;Zilhao, 1997"/>
    <m/>
    <m/>
    <m/>
    <m/>
    <m/>
    <m/>
  </r>
  <r>
    <n v="91"/>
    <s v="Vale da Almoinha"/>
    <s v="Ar livre"/>
    <n v="39.075302000000001"/>
    <n v="-9.4019209999999998"/>
    <s v="Nivel I-II"/>
    <x v="1"/>
    <s v="sim"/>
    <m/>
    <s v="silex, quartzito"/>
    <s v="sim"/>
    <s v="nao"/>
    <s v="Cascalheira et al. 2018; zilhao, 1997"/>
    <m/>
    <m/>
    <m/>
    <m/>
    <m/>
    <m/>
  </r>
  <r>
    <n v="92"/>
    <s v="Vale das Buracas"/>
    <s v="Ar livre"/>
    <n v="40.046132"/>
    <n v="-8.4957279999999997"/>
    <s v="UE3"/>
    <x v="2"/>
    <s v="nao"/>
    <s v="N/A"/>
    <s v="silex,quartzo"/>
    <s v="sim"/>
    <s v="sim"/>
    <s v="Schmidt et al. 2012;Portal do Arqueologo, 2021; Almeida et al, 1999"/>
    <m/>
    <m/>
    <m/>
    <m/>
    <m/>
    <m/>
  </r>
  <r>
    <n v="93"/>
    <s v="Vale das Buracas"/>
    <s v="Ar livre"/>
    <n v="40.046132"/>
    <n v="-8495728"/>
    <s v="UE3"/>
    <x v="1"/>
    <s v="nao"/>
    <s v="N/A"/>
    <s v="silex,quartzo"/>
    <s v="sim"/>
    <s v="sim"/>
    <s v="Schmidt et al. 2012; portal do Arqueologo, 2021; Almeida et al. 1999"/>
    <m/>
    <m/>
    <m/>
    <m/>
    <m/>
    <m/>
  </r>
  <r>
    <n v="94"/>
    <s v="Vale dos Porcos I"/>
    <s v="Ar livre"/>
    <n v="39.332869000000002"/>
    <n v="-8.9177049999999998"/>
    <s v="N/A"/>
    <x v="3"/>
    <s v="nao"/>
    <s v="N/A"/>
    <s v="silex, quartzito"/>
    <s v="sim"/>
    <s v="nao"/>
    <s v="Cascalheira et al. 2018; Portal do Arqueologo, 2021; Zilhao, 1997"/>
    <m/>
    <m/>
    <m/>
    <m/>
    <m/>
    <m/>
  </r>
  <r>
    <n v="95"/>
    <s v="Vale dos Porcos I"/>
    <s v="Ar livre"/>
    <n v="39.332869000000002"/>
    <n v="-8.9177049999999998"/>
    <s v="N/A"/>
    <x v="2"/>
    <s v="nao"/>
    <s v="N/A"/>
    <s v="silex,quartzito"/>
    <s v="sim"/>
    <s v="nao"/>
    <s v="Portal do Arqueologo, 2021; Zilhao, 1997"/>
    <m/>
    <m/>
    <m/>
    <m/>
    <m/>
    <m/>
  </r>
  <r>
    <n v="96"/>
    <s v="Vale dos Porcos II"/>
    <s v="Ar livre"/>
    <n v="39.331856999999999"/>
    <n v="-8.9189659999999993"/>
    <s v="N/A"/>
    <x v="3"/>
    <s v="nao"/>
    <s v="N/A"/>
    <s v="silex,quartzito, quartzo"/>
    <s v="sim"/>
    <s v="nao"/>
    <s v="Portal do Arqueologo, 2021; Zilhao, 1997"/>
    <m/>
    <m/>
    <m/>
    <m/>
    <m/>
    <m/>
  </r>
  <r>
    <n v="97"/>
    <s v="Vales da Senhora da Luz"/>
    <s v="Ar livre"/>
    <n v="39.344726000000001"/>
    <n v="-8.9913410000000002"/>
    <s v="superficie"/>
    <x v="2"/>
    <s v="nao"/>
    <s v="N/A"/>
    <s v="silex, quartzo,quartzito"/>
    <s v="sim"/>
    <s v="nao"/>
    <s v="cascalheira et al. 2018; portal do Arqueologo,2021; Zilhao,1997"/>
    <m/>
    <m/>
    <m/>
    <m/>
    <m/>
    <m/>
  </r>
  <r>
    <n v="98"/>
    <s v="Vascas"/>
    <s v="Ar livre"/>
    <n v="39.351531000000001"/>
    <n v="-8.9335629999999995"/>
    <s v="N/A"/>
    <x v="3"/>
    <s v="nao"/>
    <s v="N/A"/>
    <s v="silex"/>
    <s v="sim"/>
    <s v="nao"/>
    <s v="Cascalheira et al. 2018; Portal do Arqueologo, 2021; Zilhao, 1997"/>
    <m/>
    <m/>
    <m/>
    <m/>
    <m/>
    <m/>
  </r>
  <r>
    <n v="99"/>
    <s v="Vascas"/>
    <s v="Ar livre"/>
    <n v="39.351531000000001"/>
    <n v="-8.9335629999999995"/>
    <s v="N/A"/>
    <x v="2"/>
    <s v="nao"/>
    <s v="N/A"/>
    <s v="silex"/>
    <s v="sim"/>
    <s v="nao"/>
    <s v="Cascalheira et al. 2018; Portal do Arqueologo,2021; Zilhao,1997"/>
    <m/>
    <m/>
    <m/>
    <m/>
    <m/>
    <m/>
  </r>
  <r>
    <n v="100"/>
    <s v="Vilas ruivas"/>
    <s v="Ar livre"/>
    <n v="39.641950999999999"/>
    <n v="-7.6992599999999998"/>
    <s v="A;B-I;B-II"/>
    <x v="0"/>
    <s v="sim"/>
    <m/>
    <s v="quartzo, quartzito, silex"/>
    <s v="sim"/>
    <s v="nao"/>
    <s v="Portal do Arqueologo, 2021; Raposo, 1995"/>
    <m/>
    <m/>
    <m/>
    <m/>
    <m/>
    <m/>
  </r>
  <r>
    <n v="101"/>
    <s v="Vale da Porta"/>
    <s v="Ar livre"/>
    <n v="40.282223999999999"/>
    <n v="-8.5527719999999992"/>
    <s v="superficie"/>
    <x v="0"/>
    <s v="nao"/>
    <s v="N/A"/>
    <s v="silex"/>
    <s v="não"/>
    <s v="nao"/>
    <s v="Cascalheira et al, 2021; Portal do Arqueologo, 2021; Pereira et al, 2012"/>
    <s v="Verificar se fica acima dos 40ºlatitude, existem ainda Vale da Porta 2 e 3 tambem Paleolitico Medio"/>
    <m/>
    <m/>
    <m/>
    <m/>
    <m/>
  </r>
  <r>
    <n v="102"/>
    <s v="Vale do Forno 8"/>
    <s v="Ar livre"/>
    <n v="39.244917000000001"/>
    <n v="-8.5778110000000005"/>
    <s v="VF2;VF8"/>
    <x v="0"/>
    <s v="sim"/>
    <m/>
    <s v="silex, quartzo, quartzito"/>
    <s v="sim"/>
    <s v="nao"/>
    <s v="Cascalheira et al, 2021; Portal do Arqueologo, 2021; Raposo, 1995"/>
    <m/>
    <m/>
    <m/>
    <m/>
    <m/>
    <m/>
  </r>
  <r>
    <n v="103"/>
    <s v="Vale Santo"/>
    <s v="Ar livre"/>
    <n v="37.049706"/>
    <n v="-8.9613619999999994"/>
    <s v="superficie"/>
    <x v="0"/>
    <s v="nao"/>
    <s v="N/A"/>
    <s v="silex, quartzo, quartzito"/>
    <s v="sim"/>
    <s v="nao"/>
    <s v="Cascalheira et al, 2021; Portal do Arqueologo, 2021; Maio, 2018"/>
    <m/>
    <m/>
    <m/>
    <m/>
    <m/>
    <m/>
  </r>
  <r>
    <n v="104"/>
    <s v="Abrigo del Capurri"/>
    <s v="Abrigo"/>
    <n v="38.813507999999999"/>
    <n v="7.7501E-2"/>
    <s v="N/A"/>
    <x v="1"/>
    <s v="nao"/>
    <s v="N/A"/>
    <s v="N/A"/>
    <s v="N/A"/>
    <s v="N/A"/>
    <s v="Schmidt et al. 2012; Cascalheira e Bicho, 2015"/>
    <m/>
    <m/>
    <m/>
    <m/>
    <m/>
    <m/>
  </r>
  <r>
    <n v="105"/>
    <s v="Bolomor"/>
    <s v="Gruta "/>
    <n v="39.059376999999998"/>
    <n v="-0.24986800000000001"/>
    <s v="IV-III"/>
    <x v="0"/>
    <s v="sim"/>
    <m/>
    <s v="silex"/>
    <s v="sim"/>
    <s v="sim"/>
    <s v="Vermeersh, 2020;Fernadez Peris et al, 2010"/>
    <s v="Presença de ossos humanos"/>
    <m/>
    <m/>
    <m/>
    <m/>
    <m/>
  </r>
  <r>
    <n v="106"/>
    <s v="Cochino"/>
    <s v="Gruta "/>
    <n v="38.641019"/>
    <n v="-0.85829999999999995"/>
    <s v="II-III"/>
    <x v="0"/>
    <s v="nao"/>
    <s v="N/A"/>
    <s v="silex"/>
    <s v="sim"/>
    <s v="sim"/>
    <s v="Schmidt et al.2012; Vermeesch, 2020; Bonilla, 1984."/>
    <m/>
    <m/>
    <m/>
    <m/>
    <m/>
    <m/>
  </r>
  <r>
    <n v="107"/>
    <s v="Complejo del Humo - Abrigo 4"/>
    <s v="Abrigo"/>
    <n v="36.713194000000001"/>
    <n v="-4.3197020000000004"/>
    <s v="II"/>
    <x v="0"/>
    <s v="nao"/>
    <s v="N/A"/>
    <s v="calcario,silex"/>
    <s v="sim"/>
    <s v="nao"/>
    <s v="Schmidt et al. 2012; Vermeesch, 2020; Fernandez et al. 1998"/>
    <m/>
    <m/>
    <m/>
    <m/>
    <m/>
    <m/>
  </r>
  <r>
    <n v="108"/>
    <s v="Cova Ampla del Cap Gros"/>
    <s v="Abrigo"/>
    <n v="38.811422"/>
    <n v="8.9177000000000006E-2"/>
    <s v="remexido"/>
    <x v="1"/>
    <s v="não"/>
    <s v="N/A"/>
    <s v="N/A"/>
    <s v="N/A"/>
    <s v="N/A"/>
    <s v="Schmidt et al. 2012; Cascalheira 2013"/>
    <m/>
    <m/>
    <m/>
    <m/>
    <m/>
    <m/>
  </r>
  <r>
    <n v="109"/>
    <s v="Cova de les Cendres"/>
    <s v="Gruta "/>
    <n v="38.685899999999997"/>
    <n v="0.1522"/>
    <s v=" XIV; XVIA; XVIC"/>
    <x v="2"/>
    <s v="sim"/>
    <m/>
    <s v="silex, calcario, quartzo"/>
    <s v="sim"/>
    <s v="sim"/>
    <s v="Schmidt et al. 2012; Vermeesch. 2020; Real et al, 2019; Vilaverde et al. 1999; Villaverde e Roman, 2004"/>
    <m/>
    <m/>
    <m/>
    <m/>
    <m/>
    <m/>
  </r>
  <r>
    <n v="110"/>
    <s v="Cova de les Cendres"/>
    <s v="Gruta "/>
    <n v="38.685899999999997"/>
    <n v="0.1522"/>
    <s v=" XIIIB"/>
    <x v="1"/>
    <s v="sim"/>
    <m/>
    <s v="silex,quartzo"/>
    <s v="sim"/>
    <s v="sim"/>
    <s v="Schmidt et al. 2012; Vermeesch. 2020; Villaverde e Roman, 2004"/>
    <m/>
    <m/>
    <m/>
    <m/>
    <m/>
    <m/>
  </r>
  <r>
    <n v="111"/>
    <s v="Cova Foradada (ou Forada)"/>
    <s v="Gruta "/>
    <n v="38.813999000000003"/>
    <n v="-0.170094"/>
    <s v="Sector II, II; Sector II,V"/>
    <x v="3"/>
    <s v="sim"/>
    <m/>
    <s v="N/A"/>
    <s v="N/A"/>
    <s v="sim"/>
    <s v="schmidt et al. 2012; Vermeersh, 2021; Zilhao, 2006; Arsuaga et al, 2001"/>
    <s v="Presença de ossos humanos"/>
    <m/>
    <m/>
    <m/>
    <m/>
    <m/>
  </r>
  <r>
    <n v="112"/>
    <s v="Cova Foradada (ou Forada)"/>
    <s v="Gruta "/>
    <n v="38.813999000000003"/>
    <n v="-0.170094"/>
    <s v="III"/>
    <x v="0"/>
    <s v="sim"/>
    <m/>
    <s v="N/A"/>
    <s v="N/A"/>
    <s v="sim"/>
    <s v="Schmidt et al. 2012; Vermeersch, 2020; Zilhao, 2006; Bonilla, 1984"/>
    <m/>
    <m/>
    <m/>
    <m/>
    <m/>
    <m/>
  </r>
  <r>
    <n v="113"/>
    <s v="Cova del Llop"/>
    <s v="Gruta "/>
    <n v="38.992750999999998"/>
    <n v="-0.22727"/>
    <s v="20 cm- 1m"/>
    <x v="1"/>
    <s v="nao"/>
    <s v="N/A"/>
    <s v="silex, calcário"/>
    <s v="sim"/>
    <s v="sim"/>
    <s v="Schmidt et al.2012; Vermeesch, 202;  Aparicio Perez et al. 1976"/>
    <m/>
    <m/>
    <m/>
    <m/>
    <m/>
    <m/>
  </r>
  <r>
    <n v="114"/>
    <s v="Cova de les Maravelles"/>
    <s v="Gruta "/>
    <s v="38.970639"/>
    <s v="´-0.227152"/>
    <s v="remexido"/>
    <x v="1"/>
    <s v="sim"/>
    <m/>
    <s v="silex"/>
    <s v="sim"/>
    <s v="sim"/>
    <s v="Schmidt et al.2012; Vermeesch, 2020; Bonilla e Sanchez, 1981"/>
    <m/>
    <m/>
    <m/>
    <m/>
    <m/>
    <m/>
  </r>
  <r>
    <n v="115"/>
    <s v="Cova del Moro"/>
    <s v="Gruta "/>
    <s v=" 38.702243"/>
    <s v="  0.151262"/>
    <s v="sector 2"/>
    <x v="1"/>
    <s v="sim"/>
    <m/>
    <s v="quartzo, silex"/>
    <s v="sim"/>
    <s v="sim"/>
    <s v="Schmidt el al. 2012; Vermeesch, 2020; Roman et al. 2019"/>
    <m/>
    <m/>
    <m/>
    <m/>
    <m/>
    <m/>
  </r>
  <r>
    <n v="116"/>
    <s v="Cova Negra"/>
    <s v="Gruta "/>
    <n v="38.982883999999999"/>
    <s v="´-0,0.517463"/>
    <s v="Nivel A-E"/>
    <x v="0"/>
    <s v="nao"/>
    <s v="N/A"/>
    <s v="silex, quartzo, quartzito, calcario"/>
    <s v="sim"/>
    <s v="sim"/>
    <s v="Schmidt et al. 2012; Vermeesch, 2020; Bonilla, 1984"/>
    <m/>
    <m/>
    <m/>
    <m/>
    <m/>
    <m/>
  </r>
  <r>
    <n v="117"/>
    <s v="Cova Negra"/>
    <s v="Gruta "/>
    <n v="38.982883999999999"/>
    <s v="´-0,517463"/>
    <s v="Nivel A-B"/>
    <x v="3"/>
    <s v="nao"/>
    <s v="N/A"/>
    <s v="silex, quartzo, quartzito, calcario"/>
    <s v="sim"/>
    <s v="sim"/>
    <s v="Schmidt et al. 2012; Vermeesch, 2020; Bonilla, 1984"/>
    <m/>
    <m/>
    <m/>
    <m/>
    <m/>
    <m/>
  </r>
  <r>
    <n v="118"/>
    <s v="Cova Vermelha"/>
    <s v="Gruta "/>
    <n v="37.587899999999998"/>
    <n v="-10336"/>
    <s v="N/A"/>
    <x v="1"/>
    <s v="nao"/>
    <s v="N/A"/>
    <s v="quartzito, silex"/>
    <s v="sim"/>
    <s v="sim"/>
    <s v="Vermeesch, 2020; Bernardez, 1980"/>
    <m/>
    <m/>
    <m/>
    <m/>
    <m/>
    <m/>
  </r>
  <r>
    <n v="119"/>
    <s v="Cova dels Porcs"/>
    <s v="Gruta "/>
    <n v="38.941903000000003"/>
    <n v="-0.20353199999999999"/>
    <s v="N/A"/>
    <x v="1"/>
    <s v="N/A"/>
    <s v="N/A"/>
    <s v="N/A"/>
    <s v="sim"/>
    <s v="N/A"/>
    <s v="Schmidt et al. 2012; Bonilla, 1979; Bonilla e Sanchez, 1981"/>
    <s v="A analise litica não refere qual a materia-prima"/>
    <m/>
    <m/>
    <m/>
    <m/>
    <m/>
  </r>
  <r>
    <n v="120"/>
    <s v="Cova Perneras"/>
    <s v="Gruta "/>
    <n v="37.534999999999997"/>
    <n v="-1.42"/>
    <s v="gamma;delta; epsilon; zeta;eta"/>
    <x v="3"/>
    <s v="nao"/>
    <s v="N/A"/>
    <s v="silex, quartzo, quartzito, calcario"/>
    <s v="sim"/>
    <s v="sim"/>
    <s v="Schmidt et al. 2012; Bernardez, 1980; Cacho, 1981"/>
    <m/>
    <m/>
    <m/>
    <m/>
    <m/>
    <m/>
  </r>
  <r>
    <n v="121"/>
    <s v="Cova Perneras "/>
    <s v="Gruta "/>
    <n v="37.53"/>
    <n v="-1.42"/>
    <s v="gamma;delta; epsilon; zeta;eta"/>
    <x v="0"/>
    <s v="nao"/>
    <s v="N/A"/>
    <s v="silex, quartzo, quartzito, calcario"/>
    <s v="sim"/>
    <s v="sim"/>
    <s v="Schmidt et al. 2012; Bernardez, 1980; Cacho, 1981"/>
    <m/>
    <m/>
    <m/>
    <m/>
    <m/>
    <m/>
  </r>
  <r>
    <n v="122"/>
    <s v="Cueva Anton"/>
    <s v="Gruta "/>
    <n v="38.064399999999999"/>
    <n v="-1.4964"/>
    <s v="I-k, II-a,_x000a_II-c; II-b; II-d (nos quadrados J19, K19, J18)"/>
    <x v="0"/>
    <s v="sim"/>
    <m/>
    <s v="calcario,silex"/>
    <s v="sim"/>
    <s v="sim"/>
    <s v="Schmidt et al. 2012; Vermeesch, 2020; Angelucci et al. 2013; Martinez Sanchez, 1995"/>
    <m/>
    <m/>
    <m/>
    <m/>
    <m/>
    <m/>
  </r>
  <r>
    <n v="123"/>
    <s v="Cueva Ambrosio"/>
    <s v="Gruta "/>
    <n v="37.831899999999997"/>
    <n v="-2.0956000000000001"/>
    <s v=" II; IV; VI"/>
    <x v="1"/>
    <s v="sim"/>
    <m/>
    <s v="silex"/>
    <s v="sim"/>
    <s v="sim"/>
    <s v="Schmidt et al. 2012; Vermeesch. 2020; Cascalheira, 2013"/>
    <m/>
    <m/>
    <m/>
    <m/>
    <m/>
    <m/>
  </r>
  <r>
    <n v="124"/>
    <s v="Cueva Beneito"/>
    <s v="Gruta "/>
    <n v="38.757002"/>
    <n v="-0.65728900000000001"/>
    <s v="D3-D1;C4-C1; B4-B1"/>
    <x v="0"/>
    <s v="sim"/>
    <m/>
    <s v="silex"/>
    <s v="sim"/>
    <s v="sim"/>
    <s v="Schmidt et al. 2012; Zilhao, 2006; Iturbe et al. 1993"/>
    <m/>
    <m/>
    <m/>
    <m/>
    <m/>
    <m/>
  </r>
  <r>
    <n v="125"/>
    <s v="Cueva Beneito"/>
    <s v="Gruta "/>
    <n v="38.757002"/>
    <n v="-0.65728900000000001"/>
    <s v=" C2; C4"/>
    <x v="3"/>
    <s v="sim"/>
    <m/>
    <s v="silex"/>
    <s v="sim"/>
    <s v="sim"/>
    <s v="Schmidt et al. 2012;Zilhao, 2006; Iturbe et al. 1993; Faus et al. 2012"/>
    <m/>
    <m/>
    <m/>
    <m/>
    <m/>
    <m/>
  </r>
  <r>
    <n v="126"/>
    <s v="Cueva Beneito"/>
    <s v="Gruta "/>
    <n v="38.757002"/>
    <n v="-0.65728900000000001"/>
    <s v="B7 - B3"/>
    <x v="2"/>
    <s v="nao"/>
    <s v="N/A"/>
    <s v="silex"/>
    <s v="sim"/>
    <s v="sim"/>
    <s v="Schmidt et al. 2012; Domenech Faus et al. 2012; Iturbe et al. 1993"/>
    <m/>
    <m/>
    <m/>
    <m/>
    <m/>
    <m/>
  </r>
  <r>
    <n v="127"/>
    <s v="Cueva Beneito"/>
    <s v="Gruta "/>
    <n v="38.757002"/>
    <n v="-0.65728900000000001"/>
    <s v="B2; B4-B6"/>
    <x v="1"/>
    <s v="sim"/>
    <m/>
    <s v="silex"/>
    <s v="sim"/>
    <s v="sim"/>
    <s v="Schmidt at al. 2012; Domenech Faus et al. 2012; Iturbe et al. 1993"/>
    <m/>
    <m/>
    <m/>
    <m/>
    <m/>
    <m/>
  </r>
  <r>
    <n v="128"/>
    <s v="Cueva Boquete de Zafarraya"/>
    <s v="Gruta "/>
    <n v="36.9512"/>
    <n v="-4.1266999999999996"/>
    <s v="UE7-UE34"/>
    <x v="0"/>
    <s v="sim"/>
    <m/>
    <s v="silex"/>
    <s v="sim"/>
    <s v="sim"/>
    <s v="Schmidt et al. 2012; Vermeesch, 2020; Perez, 199; Barroso-Ruiz e Lumley, 2006; Barroso et al. 2003"/>
    <s v="Presença de ossos de neandertais"/>
    <m/>
    <m/>
    <m/>
    <m/>
    <m/>
  </r>
  <r>
    <n v="129"/>
    <s v="Cueva Boquete de Zafarraya"/>
    <s v="Gruta "/>
    <n v="36.9512"/>
    <n v="-4.1266999999999996"/>
    <s v="UE4 - UE6"/>
    <x v="3"/>
    <s v="nao"/>
    <s v="N/A"/>
    <s v="silex"/>
    <s v="sim"/>
    <s v="sim"/>
    <s v="Schmidt et al. 2012; Vermeesch, 2020; Perez, 1998; Barroso-Ruiz e Lumley, 2006; Barroso et al. 2003"/>
    <m/>
    <m/>
    <m/>
    <m/>
    <m/>
    <m/>
  </r>
  <r>
    <n v="130"/>
    <s v="Cueva Boquete de Zafarraya"/>
    <s v="Gruta "/>
    <n v="36.9512"/>
    <n v="-4.1266999999999996"/>
    <s v="UE4 - UE6"/>
    <x v="2"/>
    <s v="nao"/>
    <s v="N/A"/>
    <s v="silex"/>
    <s v="sim"/>
    <s v="sim"/>
    <s v="Schmidt et al. 2012; Vermeesch, 2020; Perez, 1998; Barroso-Ruiz e Lumley, 2006; Barroso et al. 2003"/>
    <m/>
    <m/>
    <m/>
    <m/>
    <m/>
    <m/>
  </r>
  <r>
    <n v="131"/>
    <s v="Cueva Boquete de Zafarraya"/>
    <s v="Gruta "/>
    <n v="39.9512"/>
    <n v="-4.1266999999999996"/>
    <s v="UE4 - UE6"/>
    <x v="1"/>
    <s v="sim"/>
    <m/>
    <s v="silex"/>
    <s v="sim"/>
    <s v="sim"/>
    <s v="Schmidt et al. 2012; Vermeesch, 2020;Perez, 1998; Barroso-Ruiz e Lumley, 2006; Barroso et al. 2003"/>
    <m/>
    <m/>
    <m/>
    <m/>
    <m/>
    <m/>
  </r>
  <r>
    <n v="132"/>
    <s v="Cueva de Barranc Blanc"/>
    <s v="Gruta "/>
    <n v="38.933007000000003"/>
    <n v="-0.26249600000000001"/>
    <s v="7;8;9"/>
    <x v="2"/>
    <s v="sim"/>
    <m/>
    <s v="calcario,silex"/>
    <s v="nao"/>
    <s v="sim "/>
    <s v="Schmidt et al, 2012;Vermeesch, 2020; Bonilla e Sanchez. 1981; Viciano, 1982; Villaverde e Roman, 2013"/>
    <s v="Presebça de ossos humanos"/>
    <m/>
    <m/>
    <m/>
    <m/>
    <m/>
  </r>
  <r>
    <n v="133"/>
    <s v="Cueva de Barranc Blanc"/>
    <s v="Gruta "/>
    <n v="38.933007000000003"/>
    <n v="-0.26249600000000001"/>
    <s v="6;7"/>
    <x v="1"/>
    <s v="sim"/>
    <m/>
    <s v="calcario,silex"/>
    <s v="sim"/>
    <s v="sim"/>
    <s v="Schmidt et al. 2012; Vermeessch, 2020; Bonilla e Sanchez, 1981; Villaverde e Roman, 2013"/>
    <m/>
    <m/>
    <m/>
    <m/>
    <m/>
    <m/>
  </r>
  <r>
    <n v="134"/>
    <s v="Cueva de Cejo del Pantano"/>
    <s v="Abrigo"/>
    <n v="37.75"/>
    <n v="-1.54"/>
    <s v="sem UE "/>
    <x v="1"/>
    <s v="nao"/>
    <s v="N/A"/>
    <s v="silex, quartzo"/>
    <s v="sim"/>
    <s v="sim"/>
    <s v="Schmidt et al. 2012; Vermeesch, 2020; Cacho, 1981"/>
    <m/>
    <m/>
    <m/>
    <m/>
    <m/>
    <m/>
  </r>
  <r>
    <n v="135"/>
    <s v="Cueva de la Cariguela"/>
    <s v="Gruta "/>
    <n v="34.444099999999999"/>
    <n v="-3.4331"/>
    <s v="XII-V"/>
    <x v="0"/>
    <s v="sim"/>
    <m/>
    <s v="silex"/>
    <s v="sim"/>
    <s v="sim"/>
    <s v="Schmidt el al. 2012; Perez,1998;Zilhao, 2006;  Reys et al. 2008; Carrion et al. 2019"/>
    <m/>
    <m/>
    <m/>
    <m/>
    <m/>
    <m/>
  </r>
  <r>
    <n v="136"/>
    <s v="Cueva de les Mallaetes"/>
    <s v="Gruta "/>
    <n v="39.021000000000001"/>
    <n v="-0.29959999999999998"/>
    <s v="VIII"/>
    <x v="3"/>
    <s v="sim"/>
    <m/>
    <s v="silex"/>
    <s v="sim"/>
    <s v="sim"/>
    <s v="Schmidt et al. 2012;Vermeesch, 2020; Fortea e Jorda, 1976"/>
    <m/>
    <m/>
    <m/>
    <m/>
    <m/>
    <m/>
  </r>
  <r>
    <n v="137"/>
    <s v="Cueva de les Mallaetes"/>
    <s v="Gruta "/>
    <n v="39.021000000000001"/>
    <n v="-0.29959999999999998"/>
    <s v="VIII;IX-X; Level 12 (sector E) - 275 to - 290 cm"/>
    <x v="2"/>
    <s v="sim"/>
    <m/>
    <s v="silex"/>
    <s v="sim"/>
    <s v="sim"/>
    <s v="Schmidt et al. 2012;  Vermeesch, 2020; Forta e Jorda, 1976"/>
    <m/>
    <m/>
    <m/>
    <m/>
    <m/>
    <m/>
  </r>
  <r>
    <n v="138"/>
    <s v="Cueva de les Mallaetes"/>
    <s v="Gruta "/>
    <n v="39.021000000000001"/>
    <n v="-0.29959999999999998"/>
    <s v="II; III;  V-VI"/>
    <x v="1"/>
    <s v="sim"/>
    <m/>
    <s v="silex"/>
    <s v="sim"/>
    <s v="sim"/>
    <s v="Schmidt el al. 2012; Vermeesch 2020; Fortea e Jorda, 1976"/>
    <m/>
    <m/>
    <m/>
    <m/>
    <m/>
    <m/>
  </r>
  <r>
    <n v="139"/>
    <s v="Cueva de los Aviones"/>
    <s v="Gruta "/>
    <n v="37.585299999999997"/>
    <n v="-0.98580000000000001"/>
    <s v="I-V"/>
    <x v="0"/>
    <s v="sim"/>
    <m/>
    <s v="quartzo, silex"/>
    <s v="sim"/>
    <s v="sim"/>
    <s v="Schmidt el al. 2012; Zilhao et al. 2010"/>
    <m/>
    <m/>
    <m/>
    <m/>
    <m/>
    <m/>
  </r>
  <r>
    <n v="140"/>
    <s v="Cueva de los Morceguillos"/>
    <s v="Gruta "/>
    <n v="37.216700000000003"/>
    <n v="-2.0661999999999998"/>
    <s v="Nivel Inferior, Medio e Superior"/>
    <x v="2"/>
    <s v="nao"/>
    <s v="N/A"/>
    <s v="silex, quartzo, quartzito"/>
    <s v="sim"/>
    <s v="sim"/>
    <s v="Schmidt et al. 2012; Vermeesch, 2020; Cacho, 1981"/>
    <m/>
    <m/>
    <m/>
    <m/>
    <m/>
    <m/>
  </r>
  <r>
    <n v="141"/>
    <s v="Cueva de los Morceguillos"/>
    <s v="Gruta "/>
    <n v="37.216700000000003"/>
    <n v="-2.0667"/>
    <s v="Nivel Inferior, Medio e Superior"/>
    <x v="1"/>
    <s v="nao"/>
    <s v="N/A"/>
    <s v="silex, quartzo, quartzito"/>
    <s v="sim"/>
    <s v="sim"/>
    <s v="Schmidt el al. 2012; Vermeesch, 2020; Cacho, 1981"/>
    <m/>
    <m/>
    <m/>
    <m/>
    <m/>
    <m/>
  </r>
  <r>
    <n v="142"/>
    <s v="Cueva de los Ojos"/>
    <s v="Gruta "/>
    <n v="36.985100000000003"/>
    <n v="-3.5619999999999998"/>
    <s v="II"/>
    <x v="1"/>
    <s v="nao"/>
    <s v="N/A"/>
    <s v="silex"/>
    <s v="sim"/>
    <s v="sim"/>
    <s v="Schmidt et al. 2012; Vermeesch, 2020; Fernandez, 2000"/>
    <m/>
    <m/>
    <m/>
    <m/>
    <m/>
    <m/>
  </r>
  <r>
    <n v="143"/>
    <s v="Cueva de Nerja"/>
    <s v="Gruta "/>
    <n v="36.761899999999997"/>
    <n v="-3.8418999999999999"/>
    <s v="12;13"/>
    <x v="2"/>
    <s v="sim"/>
    <m/>
    <s v="silex, quartzo,quartzito, calcario"/>
    <s v="sim"/>
    <s v="sim"/>
    <s v="Schmidt et al. 2012; Vermeesch, 2020; Jorda e Aura tortosa, 2008; Aura tortosa et al. 2016; Aura tortosa et al, 2012"/>
    <m/>
    <m/>
    <m/>
    <m/>
    <m/>
    <m/>
  </r>
  <r>
    <n v="144"/>
    <s v="Cueva de Nerja"/>
    <s v="Gruta "/>
    <n v="36.761899999999997"/>
    <n v="-3.8418999999999999"/>
    <s v="Vestibule8i; Vestibule8K+L;NV9(C4VIII);Vestibule8c; M79/8"/>
    <x v="1"/>
    <s v="sim"/>
    <m/>
    <s v="silex, quartzo,quartzito, calcario"/>
    <s v="sim"/>
    <s v="sim"/>
    <s v="Schmidt et al. 2012; Vermeesch, 2020; Jorda e Aura, 2008; Aura et al, 2006; Aura et al. 2012"/>
    <m/>
    <m/>
    <m/>
    <m/>
    <m/>
    <m/>
  </r>
  <r>
    <n v="145"/>
    <s v="Cueva de Tajo del jorox"/>
    <s v="Gruta "/>
    <n v="36.729999999999997"/>
    <n v="-4.8600000000000003"/>
    <s v="Superficie"/>
    <x v="1"/>
    <s v="nao"/>
    <s v="N/A"/>
    <s v="silex"/>
    <s v="sim"/>
    <s v="sim"/>
    <s v="Schmidt et al. 2012; Vermeesch, 2020; Marques e Ruiz, 1975"/>
    <m/>
    <m/>
    <m/>
    <m/>
    <m/>
    <m/>
  </r>
  <r>
    <n v="146"/>
    <s v="Cueva del Higueral- Guardia de Motillas"/>
    <s v="Gruta "/>
    <n v="36.549999999999997"/>
    <n v="-5.59"/>
    <s v="Nivel 7A e 7B"/>
    <x v="0"/>
    <s v="sim"/>
    <m/>
    <s v="quartzito"/>
    <s v="nao"/>
    <s v="sim"/>
    <s v="Schmidt et al. 2012; Pacheco e Lopez, 2017"/>
    <m/>
    <m/>
    <m/>
    <m/>
    <m/>
    <m/>
  </r>
  <r>
    <n v="147"/>
    <s v="Cueva del Higueral - Guardia de Motillas"/>
    <s v="Gruta "/>
    <n v="36.549999999999997"/>
    <n v="-5.59"/>
    <s v="Nivel 4"/>
    <x v="1"/>
    <s v="sim"/>
    <m/>
    <s v="quartzito, silex"/>
    <s v="sim"/>
    <s v="sim"/>
    <s v="Schmidt et al. 2012; Pacheco e Lopez, 2017"/>
    <m/>
    <m/>
    <m/>
    <m/>
    <m/>
    <m/>
  </r>
  <r>
    <n v="148"/>
    <s v="Cueva del Parpallo"/>
    <s v="Gruta "/>
    <n v="39.001922999999998"/>
    <n v="-0.25664100000000001"/>
    <s v="Nivel III"/>
    <x v="2"/>
    <s v="sim"/>
    <m/>
    <s v="silex"/>
    <s v="sim"/>
    <s v="sim"/>
    <s v="Schmidt et al. 2012;Vermeesch, 2020; Cascalheira,2013"/>
    <m/>
    <m/>
    <m/>
    <m/>
    <m/>
    <m/>
  </r>
  <r>
    <n v="149"/>
    <s v="Cueva del Parpallo"/>
    <s v="Gruta "/>
    <n v="39.004100000000001"/>
    <n v="-0.25664100000000001"/>
    <s v="Nivel I e II"/>
    <x v="1"/>
    <s v="sim"/>
    <m/>
    <s v="silex"/>
    <s v="sim"/>
    <s v="sim"/>
    <s v="Schmidt et al. 2012; Vermeesch, 2020;Cascalheira, 2013"/>
    <m/>
    <m/>
    <m/>
    <m/>
    <m/>
    <m/>
  </r>
  <r>
    <n v="150"/>
    <s v="Cueva del Serron -La Palica"/>
    <s v="Gruta "/>
    <n v="37.249814000000001"/>
    <n v="-1.920096"/>
    <s v="Nivel superior"/>
    <x v="2"/>
    <s v="não"/>
    <s v="N/A"/>
    <s v="silex, quartzo, quartzito"/>
    <s v="sim"/>
    <s v="sim"/>
    <s v="Schmidt et al. 2012; Cacho, 1981"/>
    <m/>
    <m/>
    <m/>
    <m/>
    <m/>
    <m/>
  </r>
  <r>
    <n v="151"/>
    <s v="Cueva del Serron -La Palica"/>
    <s v="Gruta "/>
    <n v="37.249814000000001"/>
    <n v="-1.920096"/>
    <s v="Nivel superior"/>
    <x v="1"/>
    <s v="nao"/>
    <s v="N/A"/>
    <s v="silex, quartzo, quartizto"/>
    <s v="sim"/>
    <s v="sim"/>
    <s v="Schmidt et al. 2012; Cacho, 1981"/>
    <m/>
    <m/>
    <m/>
    <m/>
    <m/>
    <m/>
  </r>
  <r>
    <n v="152"/>
    <s v="Cueva Hora"/>
    <s v="Gruta "/>
    <n v="37.768790000000003"/>
    <n v="-3.3"/>
    <s v="Nivel I e II"/>
    <x v="0"/>
    <s v="nao"/>
    <s v="N/A"/>
    <s v="silex, calcedonia, quartzo"/>
    <s v="sim"/>
    <s v="sim"/>
    <s v="Schmidt et al. 2012; Vermeesch, 2020;Uriarte, 2002"/>
    <m/>
    <m/>
    <m/>
    <m/>
    <m/>
    <m/>
  </r>
  <r>
    <n v="153"/>
    <s v="Cueva de la Pileta"/>
    <s v="Gruta "/>
    <n v="36.694302"/>
    <s v="´ -5,287420"/>
    <s v="7.30 - 8m"/>
    <x v="0"/>
    <s v="não"/>
    <s v="N/A"/>
    <s v="quartzito, silex, arenito"/>
    <s v="sim"/>
    <s v="sim"/>
    <s v="Schmidt et al. 2012; Cortes Sanchez e Simon-Vallejo, 2007"/>
    <m/>
    <m/>
    <m/>
    <m/>
    <m/>
    <m/>
  </r>
  <r>
    <n v="154"/>
    <s v="Cueva de la Pileta"/>
    <s v="Gruta "/>
    <n v="36.694302"/>
    <s v="´ -5,287420"/>
    <s v="7.30"/>
    <x v="2"/>
    <s v="não"/>
    <s v="N/A"/>
    <s v="qaurtzito, silex"/>
    <s v="sim"/>
    <s v="sim"/>
    <s v="Schmidt et al. 2012; Cortes Sanchez e Simon-Vallejo, 2007"/>
    <m/>
    <m/>
    <m/>
    <m/>
    <m/>
    <m/>
  </r>
  <r>
    <n v="155"/>
    <s v="Cueva de la Pileta"/>
    <s v="Gruta "/>
    <n v="36.694302"/>
    <s v="´ -5,287420"/>
    <s v="D-E; 7 - 7.30m"/>
    <x v="1"/>
    <s v="sim"/>
    <m/>
    <s v="quartzito, silex"/>
    <s v="sim"/>
    <s v="sim"/>
    <s v="Schmidt et al. 2012; Cortes Sanchez e Simon-Vallejo, 2007"/>
    <m/>
    <m/>
    <m/>
    <m/>
    <m/>
    <m/>
  </r>
  <r>
    <n v="156"/>
    <s v="Cueva Perneras"/>
    <s v="Abrigo"/>
    <n v="37.534999999999997"/>
    <n v="-1.42"/>
    <s v="VI-VIII"/>
    <x v="0"/>
    <s v="sim"/>
    <m/>
    <s v="silex, quartzo"/>
    <s v="sim"/>
    <s v="sim"/>
    <s v="Schmidt et al. 2012; Vermeesch. 2020; Bernardez, 1980; Zilhao e Villaverde, 2008"/>
    <m/>
    <m/>
    <m/>
    <m/>
    <m/>
    <m/>
  </r>
  <r>
    <n v="157"/>
    <s v="Cueva Perneras"/>
    <s v="Abrigo"/>
    <n v="37.534999999999997"/>
    <n v="-1.42"/>
    <s v="V"/>
    <x v="3"/>
    <s v="sim"/>
    <m/>
    <s v="silex, quartzo"/>
    <s v="sim"/>
    <s v="sim"/>
    <s v="Schmidt et al. 2012; Vermeesch, 2020; Bernardez, 1980; Zilhao e Villaverde, 2008"/>
    <m/>
    <m/>
    <m/>
    <m/>
    <m/>
    <m/>
  </r>
  <r>
    <n v="158"/>
    <s v=" Cueva de Levante"/>
    <s v="Gruta "/>
    <n v="36.340077999999998"/>
    <n v="5.81"/>
    <s v="I; IIa"/>
    <x v="1"/>
    <s v="nao"/>
    <s v="N/A"/>
    <s v="silex, arenito"/>
    <s v="sim"/>
    <s v="sim"/>
    <s v="Schmidt et al. 2012;Lopez et al. 1998"/>
    <s v="fauna pouco abundante"/>
    <m/>
    <m/>
    <m/>
    <m/>
    <m/>
  </r>
  <r>
    <n v="159"/>
    <s v="El Bajondillo"/>
    <s v="Gruta "/>
    <n v="36.621000000000002"/>
    <n v="-4.4999000000000002"/>
    <s v="Bj/14"/>
    <x v="0"/>
    <s v="nao"/>
    <s v="N/A"/>
    <s v="silex, quartzito, quartzo"/>
    <s v="sim"/>
    <s v="sim"/>
    <s v="Schmidt et al. 2012; Cortes-Sanchez et al. 2011; Zilhao, 2006; Cortes-sanchez e Vallejo, 2002"/>
    <m/>
    <m/>
    <m/>
    <m/>
    <m/>
    <m/>
  </r>
  <r>
    <n v="160"/>
    <s v="El Bajondillo"/>
    <s v="Gruta "/>
    <n v="36.621000000000002"/>
    <n v="-4.4999000000000002"/>
    <s v=" Bj/11"/>
    <x v="3"/>
    <s v="sim"/>
    <m/>
    <s v="silex, quartzito, quartzo"/>
    <s v="sim"/>
    <s v="sim"/>
    <s v="Schmidt et al. 2012; Cortés-Sánchez et al. 2011; Zilhao, 2006; Cortes-Sanchez e Vallejo, 2002"/>
    <m/>
    <m/>
    <m/>
    <m/>
    <m/>
    <m/>
  </r>
  <r>
    <n v="161"/>
    <s v="El Bajondillo"/>
    <s v="Gruta "/>
    <n v="36.621000000000002"/>
    <n v="-4.4999000000000002"/>
    <s v=" Bj/10"/>
    <x v="2"/>
    <s v="sim"/>
    <m/>
    <s v="silex, quartzito, quartzo"/>
    <s v="sim"/>
    <s v="sim"/>
    <s v="Schmidt et al. 2012; Cortés-Sánchez et al. 2011; Zilhao, 2006"/>
    <m/>
    <m/>
    <m/>
    <m/>
    <m/>
    <m/>
  </r>
  <r>
    <n v="162"/>
    <s v="El Bajondillo"/>
    <s v="Gruta "/>
    <n v="36.621000000000002"/>
    <n v="-4.4999000000000002"/>
    <s v="Bj/9 - Bj/6"/>
    <x v="1"/>
    <s v="sim"/>
    <m/>
    <s v="silex, quartzito, quartzo"/>
    <s v="sim"/>
    <s v="sim"/>
    <s v="Schmidt et al. 2012; Cortés-Sánchez et al. 2011; Zilhao, 2006"/>
    <m/>
    <m/>
    <m/>
    <m/>
    <m/>
    <m/>
  </r>
  <r>
    <n v="163"/>
    <s v="El Palomar"/>
    <s v="Abrigo"/>
    <n v="38.397500000000001"/>
    <n v="-2.2458999999999998"/>
    <s v="XIII-VI"/>
    <x v="0"/>
    <s v="nao"/>
    <s v="N/A"/>
    <s v="quartzito"/>
    <s v="nao"/>
    <s v="sim"/>
    <s v="Martinez, 2020; Vermeesch, 2020"/>
    <m/>
    <m/>
    <m/>
    <m/>
    <m/>
    <m/>
  </r>
  <r>
    <n v="164"/>
    <s v="El Palomar"/>
    <s v="Abrigo"/>
    <n v="38.397500000000001"/>
    <n v="-2.2458999999999998"/>
    <s v=" IV-III"/>
    <x v="2"/>
    <s v="sim"/>
    <m/>
    <s v="quartzito, calcario,silex"/>
    <s v="sim"/>
    <s v="sim"/>
    <s v="Schmidt et al. 2012; Vermeesch, 2020; Martinez, 2020"/>
    <m/>
    <m/>
    <m/>
    <m/>
    <m/>
    <m/>
  </r>
  <r>
    <n v="165"/>
    <s v="El Palomar"/>
    <s v="Abrigo"/>
    <n v="38.397500000000001"/>
    <n v="-2.2458999999999998"/>
    <s v="II-I"/>
    <x v="1"/>
    <s v="nao"/>
    <s v="N/A"/>
    <s v="silex"/>
    <s v="sim"/>
    <s v="sim"/>
    <s v="Schmidt et al. 2012; Vermeesch, 2020; Martinez, 2020"/>
    <m/>
    <m/>
    <m/>
    <m/>
    <m/>
    <m/>
  </r>
  <r>
    <n v="166"/>
    <s v=" El Pirulejo"/>
    <s v="Gruta "/>
    <n v="37.434199999999997"/>
    <n v="-4.1837999999999997"/>
    <s v="(P4); P5"/>
    <x v="1"/>
    <s v="sim"/>
    <m/>
    <s v="silex, calcedonia"/>
    <s v="sim"/>
    <s v="sim"/>
    <s v="Schmidt et al. 2012; Vermeesch, 2020; Cortez Sanchez et al. 2019; Evora, 2015;Cortez Sánchez et al. 2017;Cortez Sánchez et al. 2008"/>
    <m/>
    <m/>
    <m/>
    <m/>
    <m/>
    <m/>
  </r>
  <r>
    <n v="167"/>
    <s v="Finca Dona Martina"/>
    <s v="Abrigo"/>
    <n v="38.078600000000002"/>
    <n v="-1.4912000000000001"/>
    <s v=" 1-5"/>
    <x v="2"/>
    <s v="nao"/>
    <s v="N/A"/>
    <s v="silex"/>
    <s v="sim"/>
    <s v="nao"/>
    <s v="Schmidt et al. 2012; Cascalheira e Bicho, 2015; Zilhao et al. 2010"/>
    <m/>
    <m/>
    <m/>
    <m/>
    <m/>
    <m/>
  </r>
  <r>
    <n v="168"/>
    <s v="Finca Dona Martina"/>
    <s v="Abrigo"/>
    <n v="38.078600000000002"/>
    <n v="-1.4912000000000001"/>
    <s v="4;5"/>
    <x v="1"/>
    <s v="sim"/>
    <m/>
    <s v="silex"/>
    <s v="sim"/>
    <s v="nao"/>
    <s v="Schmidt et al. 2012; Cascalheira e Bicho, 2015; Zilhao et al. 2010"/>
    <m/>
    <m/>
    <m/>
    <m/>
    <m/>
    <m/>
  </r>
  <r>
    <n v="169"/>
    <s v="Gorham Cave"/>
    <s v="Gruta "/>
    <n v="36.120399999999997"/>
    <n v="-5.3421000000000003"/>
    <s v="IV, CON 16, CON 18, CON19, CON 22, CON 22d, trench 7"/>
    <x v="0"/>
    <s v="sim"/>
    <m/>
    <s v="silex, quartzito, quartzo, calcario"/>
    <s v="sim"/>
    <s v="sim"/>
    <s v="Schmidt et al. 2012; Zilhao, 2006; Finlayson et al. 2006;Finlayson et al. 2014; Rodriguez-Vidal et al. 2014"/>
    <s v="Presença de ossos humanos"/>
    <m/>
    <m/>
    <m/>
    <m/>
    <m/>
  </r>
  <r>
    <n v="170"/>
    <s v="Gorham Cave"/>
    <s v="Gruta "/>
    <n v="36.120399999999997"/>
    <n v="-5.3421000000000003"/>
    <s v=" IV(CON9) , CON 11, CON 13a"/>
    <x v="3"/>
    <s v="sim"/>
    <m/>
    <s v="N/A"/>
    <s v="N/A"/>
    <s v="sim"/>
    <s v="Schmidt et al. 2012; Zilhao, 2006; Finlayson et al. 2006;Rodriguez-Vidal et al. 2014"/>
    <s v="Sem utensilios liticos arinhacenses"/>
    <m/>
    <m/>
    <m/>
    <m/>
    <m/>
  </r>
  <r>
    <n v="171"/>
    <s v="Gorham Cave"/>
    <s v="Gruta "/>
    <n v="36.120399999999997"/>
    <n v="-5.3421000000000003"/>
    <s v="III"/>
    <x v="2"/>
    <s v="não"/>
    <s v="N/A"/>
    <s v="N/A"/>
    <s v="N/A"/>
    <s v="sim"/>
    <s v="Schmidt et al. 2012; Zilhao, 2006; Finlayson et al. 2006;Rodriguez-Vidal et al. 2014"/>
    <s v="Sem utensilios liticos gravetenses"/>
    <m/>
    <m/>
    <m/>
    <m/>
    <m/>
  </r>
  <r>
    <n v="172"/>
    <s v="Gorham Cave"/>
    <s v="Gruta "/>
    <n v="36.120399999999997"/>
    <n v="-5.3421000000000003"/>
    <s v="IIIb"/>
    <x v="1"/>
    <s v="sim"/>
    <m/>
    <s v="silex"/>
    <s v="sim"/>
    <s v="sim"/>
    <s v="Schmidt et al. 2012; Zilhao, 2006; Finlayson et al. 2006;Rodriguez-Vidal et al. 2014"/>
    <m/>
    <m/>
    <m/>
    <m/>
    <m/>
    <m/>
  </r>
  <r>
    <n v="173"/>
    <s v="Higueral de Sierra Valleja"/>
    <s v="Gruta "/>
    <n v="36.67577"/>
    <n v="-5.7804460000000004"/>
    <s v=" V; VI; VIII; IX;X"/>
    <x v="0"/>
    <s v="sim"/>
    <m/>
    <s v="silex"/>
    <s v="sim"/>
    <s v="sim"/>
    <s v="Schmidt et al. 2012; Vermeesch, 2020; Jennings et al. 2009"/>
    <m/>
    <m/>
    <m/>
    <m/>
    <m/>
    <m/>
  </r>
  <r>
    <n v="174"/>
    <s v="Higueral de Sierra Valleja"/>
    <s v="Gruta "/>
    <n v="36.67577"/>
    <n v="-5.7804460000000004"/>
    <s v="IV"/>
    <x v="2"/>
    <s v="sim"/>
    <m/>
    <s v="silex"/>
    <s v="sim"/>
    <s v="sim"/>
    <s v="Schmidt et al. 2012; Vermeesch, 2020; Jennings et al. 2009"/>
    <m/>
    <m/>
    <m/>
    <m/>
    <m/>
    <m/>
  </r>
  <r>
    <n v="175"/>
    <s v="Higueral de Sierra Valleja"/>
    <s v="Gruta "/>
    <n v="36.67577"/>
    <n v="-5.7804460000000004"/>
    <s v="III"/>
    <x v="1"/>
    <s v="nao"/>
    <s v="N/A"/>
    <s v="silex"/>
    <s v="sim"/>
    <s v="sim"/>
    <s v="canessa, 2021; Vermeesch, 2020; Jennings et al. 2009"/>
    <m/>
    <m/>
    <m/>
    <m/>
    <m/>
    <m/>
  </r>
  <r>
    <n v="176"/>
    <s v="La Fontanilla"/>
    <s v="Ar livre"/>
    <n v="36.278215000000003"/>
    <n v="-6.0927680000000004"/>
    <m/>
    <x v="1"/>
    <s v="nao"/>
    <s v="N/A"/>
    <s v="silex"/>
    <s v="sim"/>
    <s v="nao"/>
    <s v="canessa, 2021; Vermeesch, 2020; Perez Ramos et al. 2012"/>
    <m/>
    <m/>
    <m/>
    <m/>
    <m/>
    <m/>
  </r>
  <r>
    <n v="177"/>
    <s v="La Boja"/>
    <s v="Abrigo"/>
    <n v="38.078600000000002"/>
    <n v="-1.4897"/>
    <s v="Nivel A-C; Cbase/D"/>
    <x v="2"/>
    <s v="sim"/>
    <m/>
    <s v="silex, quartzito, quartzo"/>
    <s v="sim"/>
    <s v="sim"/>
    <s v="Cascalheira e Bicho, 2015; Vermeesch, 2020; Zilhao et al. 2010"/>
    <s v="Funa existente é malacofauna"/>
    <m/>
    <m/>
    <m/>
    <m/>
    <m/>
  </r>
  <r>
    <n v="178"/>
    <s v="La Boja"/>
    <s v="Abrigo"/>
    <n v="38.078600000000002"/>
    <n v="-1.4897"/>
    <s v="SW18B2; SW18B1; Nivel A-C; Cbase/D"/>
    <x v="1"/>
    <s v="sim"/>
    <m/>
    <s v="silex, quartzito, quartzo, calcedonia"/>
    <s v="sim"/>
    <s v="sim"/>
    <s v="Cascalheira e Bicho, 2015; Vermeesch, 2020; Zilhao et al. 2010"/>
    <s v="Fauna existente é malacofauna"/>
    <m/>
    <m/>
    <m/>
    <m/>
    <m/>
  </r>
  <r>
    <n v="180"/>
    <s v="Las Palomas "/>
    <s v="Gruta "/>
    <n v="37.78"/>
    <n v="-0.91"/>
    <s v="Superficie"/>
    <x v="2"/>
    <s v="nao"/>
    <s v="N/A"/>
    <s v="silex"/>
    <s v="sim"/>
    <s v="sim"/>
    <s v="Schmidt et al. 2012; Vermeesch, 2020; Medianero et al.2011"/>
    <m/>
    <m/>
    <m/>
    <m/>
    <m/>
    <m/>
  </r>
  <r>
    <n v="181"/>
    <s v="Las Ventanas"/>
    <s v="Gruta "/>
    <n v="37.441699999999997"/>
    <n v="-3.4283000000000001"/>
    <m/>
    <x v="0"/>
    <s v="nao"/>
    <s v="N/A"/>
    <s v="silex"/>
    <s v="sim"/>
    <s v="sim"/>
    <s v="Canessa, 2021; Vermeesch, 2020"/>
    <m/>
    <m/>
    <m/>
    <m/>
    <m/>
    <m/>
  </r>
  <r>
    <n v="182"/>
    <s v="Las Ventanas"/>
    <s v="Gruta "/>
    <n v="37.441699999999997"/>
    <n v="-3.4283000000000001"/>
    <m/>
    <x v="1"/>
    <s v="nao"/>
    <s v="N/A"/>
    <s v="silex"/>
    <s v="sim"/>
    <s v="sim"/>
    <s v="Canessa, 2021; Vermeesch, 2020"/>
    <m/>
    <m/>
    <m/>
    <m/>
    <m/>
    <m/>
  </r>
  <r>
    <n v="183"/>
    <s v="Pantano de Cubillas"/>
    <s v="Ar livre"/>
    <n v="37.2883"/>
    <n v="-3.6625000000000001"/>
    <s v="X-XI"/>
    <x v="1"/>
    <s v="nao"/>
    <s v="N/A"/>
    <s v="silex"/>
    <s v="sim"/>
    <s v="sim"/>
    <s v="Canessa, 2021; Toro Moyano e Ramos Lizana, 1976"/>
    <m/>
    <m/>
    <m/>
    <m/>
    <m/>
    <m/>
  </r>
  <r>
    <n v="184"/>
    <s v="Pena  de la Grieta"/>
    <s v="Abrigo"/>
    <n v="37.866700000000002"/>
    <n v="-4.1833"/>
    <s v="4;5"/>
    <x v="1"/>
    <s v="nao"/>
    <s v="N/A"/>
    <s v="silex"/>
    <s v="sim"/>
    <s v="sim"/>
    <s v="Schmidt et al. 2012; Vermeesch, 2020; Cascalheira e Bicho, 2015; Canessa, 2021; Banks et al.2009;Lopez Reyes et al. 2008"/>
    <m/>
    <m/>
    <m/>
    <m/>
    <m/>
    <m/>
  </r>
  <r>
    <n v="185"/>
    <s v="Rates Penaes"/>
    <s v="Ar livre"/>
    <n v="38.93"/>
    <n v="-0.26"/>
    <s v="Sector Oeste"/>
    <x v="1"/>
    <s v="nao"/>
    <s v="N/A"/>
    <s v="silex"/>
    <s v="nao"/>
    <s v="nao"/>
    <s v="Schmidt et al. 2012;Bonilla, 197; Bonilla e Sanchez, 1981"/>
    <m/>
    <m/>
    <m/>
    <m/>
    <m/>
    <m/>
  </r>
  <r>
    <n v="186"/>
    <s v="Ratlla del Bubo"/>
    <s v="Abrigo"/>
    <n v="38.255380000000002"/>
    <n v="-0.80683800000000006"/>
    <s v="I-IV"/>
    <x v="2"/>
    <s v="sim"/>
    <m/>
    <s v="silex"/>
    <s v="sim"/>
    <s v="sim"/>
    <s v="Schmidt et al. 2012; Cascalheira e Bicho, 2015; Soler et al, 1990;Martínez-Alfaro et al. 2022"/>
    <m/>
    <m/>
    <m/>
    <m/>
    <m/>
    <m/>
  </r>
  <r>
    <n v="187"/>
    <s v="Ratlla del Bubo"/>
    <s v="Abrigo"/>
    <n v="38.255380000000002"/>
    <n v="-0.80683800000000006"/>
    <s v="I-II"/>
    <x v="1"/>
    <s v="sim"/>
    <m/>
    <s v="sillex, quartzo"/>
    <s v="sim"/>
    <s v="sim"/>
    <s v="Schmidt et al. 2012; Cascalheira e Bicho, 2015; Soler et al, 1990;Martínez-Alfaro et al. 2022"/>
    <m/>
    <m/>
    <m/>
    <m/>
    <m/>
    <m/>
  </r>
  <r>
    <n v="188"/>
    <s v="Sima de Las Palomas del Cabezo Gordo"/>
    <s v="Abrigo"/>
    <n v="37.799700000000001"/>
    <n v="-0.89670000000000005"/>
    <s v="Layer 2e;2l"/>
    <x v="0"/>
    <s v="sim"/>
    <m/>
    <s v="silex, quartzo"/>
    <s v="sim"/>
    <s v="sim"/>
    <s v="Schmidt et al. 2012; vermeersch. 2020; Zilhao, 2006; Walker et al. 2008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1"/>
    <s v="Abrigo 1 de Vale Covoes"/>
    <s v="Abrigo"/>
    <n v="40.048194000000002"/>
    <n v="-8.4987270000000006"/>
    <s v="UE8b"/>
    <x v="0"/>
    <x v="0"/>
    <s v="N/A"/>
    <s v="quartzo, quartzito, silex"/>
    <s v="sim"/>
    <s v="sim"/>
    <s v="Cascalheira et al. 2021; Portal do Arqueologo, 2021; Pereira et al.2012"/>
    <m/>
    <m/>
    <m/>
    <m/>
    <m/>
    <m/>
  </r>
  <r>
    <n v="2"/>
    <s v="Almonda"/>
    <s v="Gruta "/>
    <n v="39.504762999999997"/>
    <n v="-8.6155200000000001"/>
    <s v="2;4"/>
    <x v="1"/>
    <x v="0"/>
    <s v="N/A"/>
    <s v="silex, quartzo, quartzito, basalto"/>
    <s v="sim"/>
    <s v="sim"/>
    <s v="Cascalheira e Bicho. 2018;Portal do Arqueologo,2021; Zilhao, 1997"/>
    <s v="Camada 3- restos humanos dentes e fragmento de maxila"/>
    <m/>
    <m/>
    <m/>
    <m/>
    <m/>
  </r>
  <r>
    <n v="3"/>
    <s v="Azinhal"/>
    <s v="Ar livre"/>
    <n v="39.608369000000003"/>
    <n v="-7.6962770000000003"/>
    <s v=" L3"/>
    <x v="0"/>
    <x v="1"/>
    <m/>
    <s v="quartzito"/>
    <s v="sim"/>
    <s v="nao"/>
    <s v="Cascalheira et al. 2021;Vermeersh, 2020; Almeida et al., 2008"/>
    <m/>
    <m/>
    <m/>
    <m/>
    <m/>
    <m/>
  </r>
  <r>
    <n v="4"/>
    <s v="Arneiro Cortico"/>
    <s v="Ar livre"/>
    <n v="38.887484000000001"/>
    <n v="-8.7941029999999998"/>
    <s v="superfice -terraco Q4"/>
    <x v="0"/>
    <x v="0"/>
    <s v="N/A"/>
    <s v="quartzito"/>
    <s v="sim"/>
    <s v="nao"/>
    <s v="Cascalheira et al. 2021;Portal do Arqueologo,2021; Cardoso, 2006"/>
    <m/>
    <m/>
    <m/>
    <m/>
    <m/>
    <m/>
  </r>
  <r>
    <n v="5"/>
    <s v="Baio"/>
    <s v="Ar livre"/>
    <n v="39.083241000000001"/>
    <n v="-9.413157"/>
    <s v="superficie"/>
    <x v="1"/>
    <x v="0"/>
    <s v="N/A"/>
    <s v="silex,  quartzo"/>
    <s v="sim"/>
    <s v="nao"/>
    <s v="Cascalheira e Bicho. 2018; Portal do Arqueologo, 2021; Zilhao, 1997"/>
    <m/>
    <m/>
    <m/>
    <m/>
    <m/>
    <m/>
  </r>
  <r>
    <n v="6"/>
    <s v="Buraca Escura"/>
    <s v="Gruta "/>
    <n v="39.979855999999998"/>
    <n v="-8.5518380000000001"/>
    <s v="2e; 2a; 2b"/>
    <x v="2"/>
    <x v="1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7"/>
    <s v="Buraca Escura"/>
    <s v="Gruta "/>
    <n v="39.979855999999998"/>
    <n v="-8.5518380000000001"/>
    <s v=" C2f"/>
    <x v="0"/>
    <x v="1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8"/>
    <s v="Buraca Grande"/>
    <s v="Gruta "/>
    <n v="39.980927000000001"/>
    <n v="-8.5496440000000007"/>
    <m/>
    <x v="0"/>
    <x v="0"/>
    <s v="N/A"/>
    <s v="quartzo, quartzito"/>
    <s v="sim"/>
    <s v="sim"/>
    <s v="Schmidt et al.2012; Cascalheira et al. 2021; Vermeersh. 2021"/>
    <m/>
    <m/>
    <m/>
    <m/>
    <m/>
    <m/>
  </r>
  <r>
    <n v="9"/>
    <s v="Buraca Grande"/>
    <s v="Gruta "/>
    <n v="39.980927000000001"/>
    <n v="-8.5496440000000007"/>
    <s v="C9b"/>
    <x v="2"/>
    <x v="1"/>
    <m/>
    <s v="quartzo, quartzito"/>
    <s v="sim"/>
    <s v="sim "/>
    <s v="Schmidt et al.2012; Cascalheira et al. 2021;Vermeersh.2021; Aubry e Moura, 1995"/>
    <m/>
    <m/>
    <m/>
    <m/>
    <m/>
    <m/>
  </r>
  <r>
    <n v="10"/>
    <s v="Buraca Grande"/>
    <s v="Gruta "/>
    <n v="39.980927000000001"/>
    <n v="-8.5496440000000007"/>
    <s v="C9b"/>
    <x v="1"/>
    <x v="1"/>
    <m/>
    <s v="silex,quartzito, quartzo "/>
    <s v="sim"/>
    <s v="sim"/>
    <s v="Schmidt et al.2012; Cascalheira et al. 2021;Vermeersh.2021; Aubry e Moura, 1995"/>
    <m/>
    <m/>
    <m/>
    <m/>
    <m/>
    <m/>
  </r>
  <r>
    <n v="11"/>
    <s v="Casal do Cepo"/>
    <s v="Ar livre"/>
    <n v="39.426144000000001"/>
    <n v="-8.5644170000000006"/>
    <s v="L/10-11; O-P/17-18"/>
    <x v="1"/>
    <x v="0"/>
    <s v="N/A"/>
    <s v="silex, quartzo"/>
    <s v="sim"/>
    <s v="nao"/>
    <s v="Cascalheira et al. 2018;Portal do Arqueologo, 2021; Zilhao, 1997"/>
    <m/>
    <m/>
    <m/>
    <m/>
    <m/>
    <m/>
  </r>
  <r>
    <n v="12"/>
    <s v="Chainca"/>
    <s v="Ar livre"/>
    <n v="39.417422000000002"/>
    <n v="-8.8554720000000007"/>
    <s v="superficie"/>
    <x v="3"/>
    <x v="0"/>
    <s v="N/A"/>
    <s v="silex, quartzo, quartzito"/>
    <s v="sim"/>
    <s v="nao"/>
    <s v="Cascalheira et al. 2018; Portal do Arqueologo,2021; Thacker, 2001"/>
    <m/>
    <m/>
    <m/>
    <m/>
    <m/>
    <m/>
  </r>
  <r>
    <n v="13"/>
    <s v="Cobrinhos"/>
    <s v="Ar livre"/>
    <n v="39.670535999999998"/>
    <n v="-7.6781470000000001"/>
    <s v=" 1; 2"/>
    <x v="0"/>
    <x v="0"/>
    <s v="N/A"/>
    <s v="quartzito, quartzo "/>
    <s v="sim"/>
    <s v="nao"/>
    <s v="Cascalheira et al. 2021, Pereira et al. 2019"/>
    <m/>
    <m/>
    <m/>
    <m/>
    <m/>
    <m/>
  </r>
  <r>
    <n v="14"/>
    <s v="Chacafre II"/>
    <s v="Ar livre"/>
    <n v="37.954926"/>
    <n v="-8.2047740000000005"/>
    <s v="sondagem diagnostico"/>
    <x v="0"/>
    <x v="0"/>
    <s v="N/A"/>
    <s v="jaspe, quartzito, silex"/>
    <s v="não"/>
    <s v="nao"/>
    <s v="Cascalheira et al. 2021; Portal do Arqueologo, 2021; Burke et al. 2011"/>
    <m/>
    <m/>
    <m/>
    <m/>
    <m/>
    <m/>
  </r>
  <r>
    <n v="15"/>
    <s v="Conceicao"/>
    <s v="Ar livre"/>
    <n v="38.727525"/>
    <n v="-8.9881510000000002"/>
    <s v="C;D"/>
    <x v="0"/>
    <x v="1"/>
    <m/>
    <s v="quartzo, quartzito"/>
    <s v="não"/>
    <s v="nao"/>
    <s v="Cascalheira et al. 2021; Vermeesh.2020; Raposo e Cardoso, 1998"/>
    <m/>
    <m/>
    <m/>
    <m/>
    <m/>
    <m/>
  </r>
  <r>
    <n v="16"/>
    <s v="CPM (Cabeco de Porto Marinho)"/>
    <s v="Ar livre"/>
    <n v="39.359681000000002"/>
    <n v="-8.9387860000000003"/>
    <s v="CPM IIID/F; CPM II"/>
    <x v="2"/>
    <x v="1"/>
    <m/>
    <s v="silex, quartzo, quartzito"/>
    <s v="sim"/>
    <s v="nao"/>
    <s v="Cascalheira et al. 2018; Portal do Arqueologo,2021; Zilhao,1997"/>
    <m/>
    <m/>
    <m/>
    <m/>
    <m/>
    <m/>
  </r>
  <r>
    <n v="18"/>
    <s v="Cova da Moura"/>
    <s v="Ar livre"/>
    <n v="39.074807"/>
    <n v="-9.3977400000000006"/>
    <s v="25-50 cm"/>
    <x v="2"/>
    <x v="0"/>
    <s v="N/A"/>
    <s v="silex, quartzo"/>
    <s v="sim"/>
    <s v="nao"/>
    <s v="Schmidt et al. 2012; Vermeersch. 2020; Zilhão. 1997"/>
    <m/>
    <m/>
    <m/>
    <m/>
    <m/>
    <m/>
  </r>
  <r>
    <n v="20"/>
    <s v="Curva do Belixe"/>
    <s v="Ar livre"/>
    <n v="37.025652999999998"/>
    <n v="-8.9860489999999995"/>
    <s v="superficie"/>
    <x v="0"/>
    <x v="0"/>
    <s v="N/A"/>
    <s v="silex"/>
    <s v="não"/>
    <s v="nao"/>
    <s v="Cascalheira et al. 2021"/>
    <m/>
    <m/>
    <m/>
    <m/>
    <m/>
    <m/>
  </r>
  <r>
    <n v="21"/>
    <s v="Casal do Flipe"/>
    <s v="Ar livre"/>
    <n v="39.352609999999999"/>
    <n v="-8.9954339999999995"/>
    <s v=" N/A"/>
    <x v="2"/>
    <x v="0"/>
    <s v="N/A"/>
    <s v="silex, quartzo, quartzito"/>
    <s v="sim"/>
    <s v="sim"/>
    <s v="Zilhao, 1997"/>
    <m/>
    <m/>
    <m/>
    <m/>
    <m/>
    <m/>
  </r>
  <r>
    <n v="22"/>
    <s v="Estrada do Prado"/>
    <s v="Ar livre"/>
    <n v="39.610011"/>
    <n v="-8.4141750000000002"/>
    <s v="2;7"/>
    <x v="0"/>
    <x v="0"/>
    <s v="N/A"/>
    <s v="silex, quartzito,quartzo"/>
    <s v="sim"/>
    <s v="nao"/>
    <s v="Cascalheira et al. 2021; Portal do Arqueologo, 2021; Cardoso, 2006"/>
    <m/>
    <m/>
    <m/>
    <m/>
    <m/>
    <m/>
  </r>
  <r>
    <n v="23"/>
    <s v="Figueira Brava "/>
    <s v="Gruta "/>
    <n v="38.471193999999997"/>
    <n v="-8.9857189999999996"/>
    <s v="C2;C3"/>
    <x v="0"/>
    <x v="1"/>
    <m/>
    <s v="silex, quartzo, quartzito"/>
    <s v="sim"/>
    <s v="sim"/>
    <s v="Shmidt et al. 2012; Cascalheira et al. 2018; Portal do Arqueologo, 2021; Antunes, 1989; Raposo e Cardoso, 2000"/>
    <m/>
    <m/>
    <m/>
    <m/>
    <m/>
    <m/>
  </r>
  <r>
    <n v="24"/>
    <s v="Fonte Santa"/>
    <s v="Ar livre"/>
    <n v="39.477682999999999"/>
    <n v="-8.5018960000000003"/>
    <s v="H-Q/22-29"/>
    <x v="2"/>
    <x v="1"/>
    <m/>
    <s v="silex,quartzo, quartzito"/>
    <s v="sim"/>
    <s v="nao"/>
    <s v="Cascalheira et al. 2018; Zilhao, 1997"/>
    <m/>
    <m/>
    <m/>
    <m/>
    <m/>
    <m/>
  </r>
  <r>
    <n v="25"/>
    <s v="Foz do Enxarrique"/>
    <s v="Ar livre"/>
    <n v="39.649791999999998"/>
    <n v="-7.6703049999999999"/>
    <s v="T4; T5;T6"/>
    <x v="0"/>
    <x v="1"/>
    <m/>
    <s v="quartzito, silex, quartzo"/>
    <s v="sim"/>
    <s v="sim"/>
    <s v="Cascalheira et al. 2021;Portal do Arqueologo,2021; Cunha et al., 2019; Pereira et al. 2012"/>
    <m/>
    <m/>
    <m/>
    <m/>
    <m/>
    <m/>
  </r>
  <r>
    <n v="26"/>
    <s v="Furninha"/>
    <s v="Gruta "/>
    <n v="39.356082000000001"/>
    <n v="-9.4008120000000002"/>
    <n v="5"/>
    <x v="0"/>
    <x v="0"/>
    <s v="N/A"/>
    <s v="silex, quartzo, quartzito"/>
    <s v="sim"/>
    <s v="sim"/>
    <s v="Cascalheira et al. 2021; Portal do Arqueologo, 2021"/>
    <m/>
    <m/>
    <m/>
    <m/>
    <m/>
    <m/>
  </r>
  <r>
    <n v="27"/>
    <s v="Furninha"/>
    <s v="Gruta "/>
    <n v="39.356082000000001"/>
    <n v="-9.4008120000000002"/>
    <s v="9;10"/>
    <x v="2"/>
    <x v="0"/>
    <s v="N/A"/>
    <s v="silex, quartzo, quartzito"/>
    <s v="sim"/>
    <s v="sim"/>
    <s v="Cascalheira et al. 2021; Portal do Arqueologo, 2021"/>
    <m/>
    <m/>
    <m/>
    <m/>
    <m/>
    <m/>
  </r>
  <r>
    <n v="28"/>
    <s v="Furninha"/>
    <s v="Gruta "/>
    <n v="39.356082000000001"/>
    <n v="-9.4008120000000002"/>
    <s v="9;10 "/>
    <x v="1"/>
    <x v="0"/>
    <s v="N/A"/>
    <s v="silex,quartzo, quartzito"/>
    <s v="sim"/>
    <s v="sim"/>
    <s v="Cascalheira et al. 2021;Portal do Arqueologo,2021; Cardoso e Bicho, 2010"/>
    <m/>
    <m/>
    <m/>
    <m/>
    <m/>
    <m/>
  </r>
  <r>
    <n v="29"/>
    <s v="Galerias Pesadas"/>
    <s v="Gruta "/>
    <n v="39.505330999999998"/>
    <n v="-8.6152789999999992"/>
    <s v="B1; B2; C;E"/>
    <x v="0"/>
    <x v="1"/>
    <m/>
    <s v="quartzo, silex, quartizito"/>
    <s v="sim"/>
    <s v="sim"/>
    <s v="Cascalheira et al. 2021, Portal do Arqueologo, 2021; Marks et al. 2002"/>
    <m/>
    <m/>
    <m/>
    <m/>
    <m/>
    <m/>
  </r>
  <r>
    <n v="30"/>
    <s v="Gato Preto"/>
    <s v="Ar livre"/>
    <n v="39.335690999999997"/>
    <n v="-8.930275"/>
    <s v="C; E9; A4; A6-Z4; B4"/>
    <x v="1"/>
    <x v="1"/>
    <m/>
    <s v="silex, quartzo,quartzito"/>
    <s v="sim"/>
    <s v="nao"/>
    <s v="Cascalheira et al. 2018;Portal do Arqueologo, 2021"/>
    <m/>
    <m/>
    <m/>
    <m/>
    <m/>
    <m/>
  </r>
  <r>
    <n v="31"/>
    <s v="Gasparoes"/>
    <s v="Ar livre"/>
    <n v="37.992100000000001"/>
    <n v="-8.2592999999999996"/>
    <s v="sondagem diagnostico"/>
    <x v="0"/>
    <x v="1"/>
    <m/>
    <s v="quartzito, quartzo"/>
    <s v="sim"/>
    <s v="nao"/>
    <s v="Cascalheira et al, 2021; Burke et al., 2011; Vermeech, 2020"/>
    <m/>
    <m/>
    <m/>
    <m/>
    <m/>
    <m/>
  </r>
  <r>
    <n v="32"/>
    <s v=" Gruta da Casa da Moura"/>
    <s v="Gruta "/>
    <n v="39.324385999999997"/>
    <n v="-9.2548030000000008"/>
    <s v="Nivel 1b, Deposito inferior"/>
    <x v="2"/>
    <x v="1"/>
    <m/>
    <s v="silex, quartzito"/>
    <s v="não"/>
    <s v="sim"/>
    <s v="Schmidt et al. 2012;Portal do Arqueologo, 2021; Zilhao, 1997"/>
    <m/>
    <m/>
    <m/>
    <m/>
    <m/>
    <m/>
  </r>
  <r>
    <n v="33"/>
    <s v="Gruta da Companheira"/>
    <s v="Gruta "/>
    <n v="37.152886000000002"/>
    <n v="-8.523358"/>
    <s v="R1"/>
    <x v="0"/>
    <x v="0"/>
    <s v="N/A"/>
    <s v="quartzo"/>
    <s v="não"/>
    <s v="sim"/>
    <s v="Cascalheira et al. 2021; Portal do Arqueologo, 2021"/>
    <m/>
    <m/>
    <m/>
    <m/>
    <m/>
    <m/>
  </r>
  <r>
    <n v="34"/>
    <s v="Gruta da Oliveira"/>
    <s v="Gruta "/>
    <n v="39.504589000000003"/>
    <n v="-8.6160759999999996"/>
    <s v="8;  9; 11"/>
    <x v="0"/>
    <x v="1"/>
    <m/>
    <s v="silex, quartzito, quartzo"/>
    <s v="sim"/>
    <s v="sim"/>
    <s v="Schmidt et al. 2012; Cascalheira et al. 2021;Portal do Arqueologo,2021; Marks et al, 2001"/>
    <m/>
    <m/>
    <m/>
    <m/>
    <m/>
    <m/>
  </r>
  <r>
    <n v="35"/>
    <s v="Gruta Nova da Columbeira"/>
    <s v="Gruta "/>
    <n v="39.297908999999997"/>
    <n v="-9.2002269999999999"/>
    <s v="Nivel 4-9"/>
    <x v="0"/>
    <x v="1"/>
    <m/>
    <s v="quartzo, quartzito, silex"/>
    <s v="sim"/>
    <s v="sim"/>
    <s v="Schmidt et al.2012;Portal do Arqueologo,2021; Raposo e Cardoso, 1998"/>
    <m/>
    <m/>
    <m/>
    <m/>
    <m/>
    <m/>
  </r>
  <r>
    <n v="36"/>
    <s v="Gruta das Salemas"/>
    <s v="Gruta "/>
    <n v="38.875754999999998"/>
    <n v="-9.2033930000000002"/>
    <s v="Nivel IV"/>
    <x v="0"/>
    <x v="1"/>
    <m/>
    <s v="silex, quartzo"/>
    <s v="sim"/>
    <s v="sim"/>
    <s v="Schmidt et al. 2012; Cascalheira et al. 2021;Portal do Arqueologo, 2021"/>
    <m/>
    <m/>
    <m/>
    <m/>
    <m/>
    <m/>
  </r>
  <r>
    <n v="37"/>
    <s v="Gruta das Salemas"/>
    <s v="Gruta "/>
    <n v="38.875754999999998"/>
    <n v="-9.2033930000000002"/>
    <s v="Nivel III"/>
    <x v="3"/>
    <x v="0"/>
    <s v="N/A"/>
    <s v="silex, quartzo"/>
    <s v="sim"/>
    <s v="sim"/>
    <s v="Schmidt et al. 2012; Cascalheira et al. 2021; Portal do Arqueologo 2021"/>
    <m/>
    <m/>
    <m/>
    <m/>
    <m/>
    <m/>
  </r>
  <r>
    <n v="38"/>
    <s v="Gruta das Salemas"/>
    <s v="Gruta "/>
    <n v="38.875754999999998"/>
    <n v="-9.2033930000000002"/>
    <s v="Nivel III"/>
    <x v="2"/>
    <x v="0"/>
    <s v="N/A"/>
    <s v="silex, quartzo"/>
    <s v="sim"/>
    <s v="sim"/>
    <s v="Schmidt et al. 2012; Cascalheira et al. 2021; Portal do Arqueologo 2021"/>
    <m/>
    <m/>
    <m/>
    <m/>
    <m/>
    <m/>
  </r>
  <r>
    <n v="39"/>
    <s v="Gruta de Ibn Ammar"/>
    <s v="Gruta "/>
    <n v="37.156103000000002"/>
    <n v="-8.5000750000000007"/>
    <s v="sifao"/>
    <x v="0"/>
    <x v="0"/>
    <s v="N/A"/>
    <s v="silex, quartzo, quartzito, calcario"/>
    <s v="não"/>
    <s v="sim"/>
    <s v="Cascalheira et al. 2021, Maio, 2018;"/>
    <m/>
    <m/>
    <m/>
    <m/>
    <m/>
    <m/>
  </r>
  <r>
    <n v="40"/>
    <s v="Gruta do Caldeirao"/>
    <s v="Gruta "/>
    <n v="39.648547000000001"/>
    <n v="-8.4156370000000003"/>
    <s v=" K"/>
    <x v="0"/>
    <x v="1"/>
    <m/>
    <s v="silex"/>
    <s v="sim"/>
    <s v="sim"/>
    <s v="Schmidt et al. 2012; Cascalheira et al. 2021; Zilhao, 1997"/>
    <m/>
    <m/>
    <m/>
    <m/>
    <m/>
    <m/>
  </r>
  <r>
    <n v="41"/>
    <s v="Gruta do Caldeirao"/>
    <s v="Gruta "/>
    <n v="39.648547000000001"/>
    <n v="-8.4156370000000003"/>
    <s v=" J a; Jb"/>
    <x v="2"/>
    <x v="0"/>
    <s v="N/A"/>
    <s v="silex"/>
    <s v="sim"/>
    <s v="sim"/>
    <s v="Schmidt et al. 2012; Cascalheira et al. 2021;Zilhao, 1997"/>
    <m/>
    <m/>
    <m/>
    <m/>
    <m/>
    <m/>
  </r>
  <r>
    <n v="42"/>
    <s v="Gruta do Caldeirao"/>
    <s v="Gruta "/>
    <n v="39.648547000000001"/>
    <n v="-8.4156370000000003"/>
    <s v="Fc; H;  Fa; Fb;Eb"/>
    <x v="1"/>
    <x v="1"/>
    <m/>
    <s v="silex"/>
    <s v="sim"/>
    <s v="sim"/>
    <s v="Schmidt et al. 2012; Cascalheira et al. 2021;Zilhao, 1997"/>
    <m/>
    <m/>
    <m/>
    <m/>
    <m/>
    <m/>
  </r>
  <r>
    <n v="43"/>
    <s v="Gruta do Correio Mor"/>
    <s v="Gruta "/>
    <n v="38.826740000000001"/>
    <n v="-9.1871589999999994"/>
    <s v="Nivel IV"/>
    <x v="0"/>
    <x v="0"/>
    <s v="N/A"/>
    <s v="silex "/>
    <s v="não"/>
    <s v="nao"/>
    <s v="Cascalheira et al. 2021; Portal do Arqueologo, 2021; Zebyszewski et al. 1987"/>
    <m/>
    <m/>
    <m/>
    <m/>
    <m/>
    <m/>
  </r>
  <r>
    <n v="44"/>
    <s v="Gruta do Correio Mor"/>
    <s v="Gruta "/>
    <n v="38.826740000000001"/>
    <n v="-9.1871589999999994"/>
    <s v="Nivel II e III"/>
    <x v="1"/>
    <x v="0"/>
    <s v="N/A"/>
    <s v="silex  "/>
    <s v="sim"/>
    <s v="sim"/>
    <s v="Cascalheira et al. 2021; Portal do Arqueologo, 2021; Zebyszewski et al. 1987"/>
    <m/>
    <m/>
    <m/>
    <m/>
    <m/>
    <m/>
  </r>
  <r>
    <n v="45"/>
    <s v="Gruta do Escoural"/>
    <s v="Gruta "/>
    <n v="38.543540999999998"/>
    <n v="-8.1376559999999998"/>
    <s v=" 2-3"/>
    <x v="0"/>
    <x v="1"/>
    <m/>
    <s v="quartzo, quartzito, silex"/>
    <s v="sim"/>
    <s v="sim"/>
    <s v="Shmidt et al. 2012; Cascalheira et al. 2021; Portal do Arqueologo, 2021;Zilhao, 1997"/>
    <m/>
    <m/>
    <m/>
    <m/>
    <m/>
    <m/>
  </r>
  <r>
    <n v="46"/>
    <s v="Gruta do Escoural"/>
    <s v="Gruta "/>
    <n v="38.543540999999998"/>
    <n v="-8.1376559999999998"/>
    <s v=" 2-3"/>
    <x v="1"/>
    <x v="1"/>
    <m/>
    <s v="quartzo, quartzito, silex"/>
    <s v="sim"/>
    <s v="sim"/>
    <s v="Schmidt et al. 2012; Cascalheira et al. 2021;Portal do Arqueologo, 2021; Zilhao, 1997"/>
    <m/>
    <m/>
    <m/>
    <m/>
    <m/>
    <m/>
  </r>
  <r>
    <n v="47"/>
    <s v="Gruta do Ourao"/>
    <s v="Gruta "/>
    <n v="40.022962"/>
    <n v="-8.5800049999999999"/>
    <s v="Superficie (seccao 4 e 5)"/>
    <x v="1"/>
    <x v="0"/>
    <s v="N/A"/>
    <s v="silex,quartzo, quartzito"/>
    <s v="sim"/>
    <s v="sim"/>
    <s v="Schmidt et al. 2012, cascalheira et al. 2018; Cascalheira et al. 2021; Portal do Arqueologo, 2021;Zilhao, 1997"/>
    <m/>
    <m/>
    <m/>
    <m/>
    <m/>
    <m/>
  </r>
  <r>
    <n v="48"/>
    <s v="Grutas do Poco Velho"/>
    <s v="Gruta "/>
    <n v="38.700251999999999"/>
    <n v="-9.4210639999999994"/>
    <n v="2"/>
    <x v="1"/>
    <x v="1"/>
    <m/>
    <s v="quartzo"/>
    <s v="sim"/>
    <s v="sim"/>
    <s v="Schmidt et al. 2012; Portal do Arqueologo, 2021; Zilhao, 1997"/>
    <s v="Do material solutrense faziam parte apenas duas peças (folha de loureiro e ponta de pendunculo)"/>
    <m/>
    <m/>
    <m/>
    <m/>
    <m/>
  </r>
  <r>
    <n v="49"/>
    <s v="Lagar velho"/>
    <s v="Abrigo"/>
    <n v="39.755453000000003"/>
    <n v="-8.7347350000000006"/>
    <s v="TP06"/>
    <x v="2"/>
    <x v="1"/>
    <m/>
    <s v="quartzito, silex, quartzo"/>
    <s v="sim"/>
    <s v="sim"/>
    <s v="Schmidt et al. 2012; Cascalheira e Bicho, 2018; Zilhao e Trinkaus, 2002"/>
    <m/>
    <m/>
    <m/>
    <m/>
    <m/>
    <m/>
  </r>
  <r>
    <n v="52"/>
    <s v="Lagar velho"/>
    <s v="Abrigo"/>
    <n v="39.755453000000003"/>
    <n v="-8.7347350000000006"/>
    <s v="TP09"/>
    <x v="1"/>
    <x v="1"/>
    <m/>
    <s v="silex, quartzito, quartzo"/>
    <s v="sim"/>
    <s v="sim"/>
    <s v="Schmidt et al. 2012; Cascalheira et al. 2018; Zilhao e Trinkaus, 2002"/>
    <m/>
    <m/>
    <m/>
    <m/>
    <m/>
    <m/>
  </r>
  <r>
    <n v="53"/>
    <s v="Lagoa do Bando"/>
    <s v="Ar livre"/>
    <n v="39.615566999999999"/>
    <n v="-7.9876909999999999"/>
    <s v=" P"/>
    <x v="0"/>
    <x v="0"/>
    <s v="N/A"/>
    <s v="quartzito, silex"/>
    <s v="sim"/>
    <s v="nao"/>
    <s v="Cascalheira et al. 2021; Portal do Arqueologo, 2021; Peca  et al. 2013"/>
    <m/>
    <m/>
    <m/>
    <m/>
    <m/>
    <m/>
  </r>
  <r>
    <n v="54"/>
    <s v="Lagoa Funda 1 "/>
    <s v="Ar livre"/>
    <n v="37.129956"/>
    <n v="-8.8992190000000004"/>
    <s v="superficie"/>
    <x v="0"/>
    <x v="0"/>
    <s v="N/A"/>
    <s v="quartzo, quartzito, silex"/>
    <s v="sim"/>
    <s v="nao"/>
    <s v="Cascalheira et al. 2021; Maio, 2018; Portal do Arqueologo, 2021"/>
    <m/>
    <m/>
    <m/>
    <m/>
    <m/>
    <m/>
  </r>
  <r>
    <n v="55"/>
    <s v="Lagoa Funda 2"/>
    <s v="Ar livre"/>
    <n v="37.123168"/>
    <n v="-8.8898109999999999"/>
    <s v="superficie"/>
    <x v="0"/>
    <x v="0"/>
    <s v="N/A"/>
    <s v="quartzo, quartzito, silex"/>
    <s v="sim"/>
    <s v="nao"/>
    <s v="Cascalheira et al. 2021, Maio, 2018;Portal do Arqueologo 2021"/>
    <m/>
    <m/>
    <m/>
    <m/>
    <m/>
    <m/>
  </r>
  <r>
    <n v="56"/>
    <s v="Lagoa do Bordoal"/>
    <s v="Ar livre"/>
    <n v="37.113768999999998"/>
    <n v="-8.8801539999999992"/>
    <s v="superficie"/>
    <x v="0"/>
    <x v="1"/>
    <m/>
    <s v="quartzo, quartzito, silex"/>
    <s v="sim"/>
    <s v="nao"/>
    <s v="Cascalheira et al. 2021, Maio, 2018, Portal do Arqueologo, 2021"/>
    <m/>
    <m/>
    <m/>
    <m/>
    <m/>
    <m/>
  </r>
  <r>
    <n v="57"/>
    <s v="Lapa da Rainha"/>
    <s v="Gruta "/>
    <n v="39.181269"/>
    <n v="-9.3252459999999999"/>
    <s v="4; 5"/>
    <x v="1"/>
    <x v="1"/>
    <m/>
    <s v="silex"/>
    <s v="sim"/>
    <s v="sim"/>
    <s v="Cascalheira et al. 2018; portal do Arqueologo,2021; Zilhao,1997"/>
    <m/>
    <m/>
    <m/>
    <m/>
    <m/>
    <m/>
  </r>
  <r>
    <n v="58"/>
    <s v="Lapa do Anecrial"/>
    <s v="Abrigo"/>
    <n v="39.540736000000003"/>
    <s v="´- 8,757269"/>
    <n v="3"/>
    <x v="2"/>
    <x v="1"/>
    <m/>
    <s v="silex, quartzo"/>
    <s v="sim"/>
    <s v="sim"/>
    <s v="Schmidt et al. 2012;Portal do Arqueologo, 2021"/>
    <m/>
    <m/>
    <m/>
    <m/>
    <m/>
    <m/>
  </r>
  <r>
    <n v="59"/>
    <s v="Lapa do Anecrial"/>
    <s v="Abrigo"/>
    <n v="39.540736000000003"/>
    <n v="-8.7572690000000009"/>
    <s v="1;2"/>
    <x v="1"/>
    <x v="1"/>
    <m/>
    <s v="silex, quartzo"/>
    <s v="sim"/>
    <s v="sim"/>
    <s v="Schmidt et al. 2012; Portal do Arqueologo, 2021"/>
    <m/>
    <m/>
    <m/>
    <m/>
    <m/>
    <m/>
  </r>
  <r>
    <n v="60"/>
    <s v="Lapa do Picareiro"/>
    <s v="Gruta "/>
    <n v="39.531669999999998"/>
    <n v="-8.6542399999999997"/>
    <s v=" O; R; S; T"/>
    <x v="1"/>
    <x v="1"/>
    <m/>
    <s v="quartzo, quartzito"/>
    <s v="sim"/>
    <s v="sim"/>
    <s v="cascalheira et al. 2018; Cascalheira et al. 2021;Portal do Arqueologo, 2021"/>
    <m/>
    <m/>
    <m/>
    <m/>
    <m/>
    <m/>
  </r>
  <r>
    <n v="61"/>
    <s v="Lapa do Suao"/>
    <s v="Gruta "/>
    <n v="39.299129999999998"/>
    <n v="-9.2006099999999993"/>
    <s v="Nivel 8-9"/>
    <x v="1"/>
    <x v="0"/>
    <s v="N/A"/>
    <s v="silex, anfibolito, xisto"/>
    <s v="sim"/>
    <s v="nao"/>
    <s v="Schmidt et al. 2012; Portal do Arqueologo, 2021; Zilhao, 1997; Furtado et al. 1969"/>
    <m/>
    <m/>
    <m/>
    <m/>
    <m/>
    <m/>
  </r>
  <r>
    <n v="62"/>
    <s v="Lapa dos Furos"/>
    <s v="Gruta "/>
    <n v="39.682944999999997"/>
    <n v="-8.4361759999999997"/>
    <n v="4"/>
    <x v="0"/>
    <x v="1"/>
    <m/>
    <s v="silex"/>
    <s v="não"/>
    <s v="sim"/>
    <s v="Schmidt et al. 2012;Cascalheira et al. 2021;Portal do Arqueologo, 2021; Cardoso, 2006"/>
    <m/>
    <m/>
    <m/>
    <m/>
    <m/>
    <m/>
  </r>
  <r>
    <n v="63"/>
    <s v="Mina do Paco"/>
    <s v="Ar livre"/>
    <n v="37.933999999999997"/>
    <n v="-8.0869999999999997"/>
    <s v="superficie"/>
    <x v="0"/>
    <x v="0"/>
    <s v="N/A"/>
    <s v="jaspe, quartzito"/>
    <s v="sim"/>
    <s v="nao"/>
    <s v="Cascalheira et al. 2021; Burke et al, 2011"/>
    <m/>
    <m/>
    <m/>
    <m/>
    <m/>
    <m/>
  </r>
  <r>
    <n v="64"/>
    <s v="Mira Nascente"/>
    <s v="Ar livre"/>
    <n v="39.706026000000001"/>
    <n v="-9.0498779999999996"/>
    <s v="MN3a; MN3b"/>
    <x v="0"/>
    <x v="0"/>
    <s v="N/A"/>
    <s v="silex"/>
    <s v="sim"/>
    <s v="nao"/>
    <s v="Cascalheira et al. 2021; Portal do Arqueologo, 2021; Haws et al. 2010"/>
    <m/>
    <m/>
    <m/>
    <m/>
    <m/>
    <m/>
  </r>
  <r>
    <n v="65"/>
    <s v="Moinhos 1"/>
    <s v="Ar livre"/>
    <n v="37.9116"/>
    <n v="-8.2492000000000001"/>
    <s v="superficie"/>
    <x v="0"/>
    <x v="0"/>
    <s v="N/A"/>
    <s v="quartzo, quartzito"/>
    <s v="sim"/>
    <s v="nao"/>
    <s v="Cascalheira et al. 2021; Burke et al, 2011"/>
    <m/>
    <m/>
    <m/>
    <m/>
    <m/>
    <m/>
  </r>
  <r>
    <n v="66"/>
    <s v="Moinhos 2"/>
    <s v="Ar livre"/>
    <n v="37.9116"/>
    <n v="-8.2492000000000001"/>
    <s v="superficie"/>
    <x v="0"/>
    <x v="0"/>
    <s v="N/A"/>
    <s v="quartzo, quartzito"/>
    <s v="sim"/>
    <s v="nao"/>
    <s v="Cascalheira et al. 2021; Burke et al, 2011"/>
    <m/>
    <m/>
    <m/>
    <m/>
    <m/>
    <m/>
  </r>
  <r>
    <n v="67"/>
    <s v="Monte Penedo 1"/>
    <s v="Ar livre"/>
    <n v="39.508730999999997"/>
    <n v="-8.0401989999999994"/>
    <s v="superficie "/>
    <x v="0"/>
    <x v="0"/>
    <s v="N/A"/>
    <s v="quartzito"/>
    <s v="sim"/>
    <s v="nao"/>
    <s v="Cascalheira et al. 2021; Portal do Arqueologo, 2021"/>
    <m/>
    <m/>
    <m/>
    <m/>
    <m/>
    <m/>
  </r>
  <r>
    <n v="68"/>
    <s v="Monte da Fainha"/>
    <s v="Ar livre"/>
    <n v="39.758595999999997"/>
    <n v="-7.6937734000000004"/>
    <s v="1-2m"/>
    <x v="1"/>
    <x v="0"/>
    <s v="N/A"/>
    <s v="silex, quartzo, xisto"/>
    <s v="não"/>
    <s v="nao"/>
    <s v="Zilhao, 1997"/>
    <m/>
    <m/>
    <m/>
    <m/>
    <m/>
    <m/>
  </r>
  <r>
    <n v="69"/>
    <s v="Olival da Carneira"/>
    <s v="Ar livre"/>
    <n v="39.346559999999997"/>
    <n v="-8.9303810000000006"/>
    <n v="5"/>
    <x v="1"/>
    <x v="0"/>
    <s v="N/A"/>
    <s v="silex , quartzo, quzrtzito"/>
    <s v="sim"/>
    <s v="nao"/>
    <s v="Zilhao, 1997"/>
    <m/>
    <m/>
    <m/>
    <m/>
    <m/>
    <m/>
  </r>
  <r>
    <n v="70"/>
    <s v="Passal"/>
    <s v="Ar livre"/>
    <n v="39.316215999999997"/>
    <n v="-8.841742"/>
    <s v="B2(2;3); S1 (3)"/>
    <x v="1"/>
    <x v="0"/>
    <s v="N/A"/>
    <s v="silex"/>
    <s v="nao"/>
    <s v="nao"/>
    <s v="Zilhao, 1997"/>
    <m/>
    <m/>
    <m/>
    <m/>
    <m/>
    <m/>
  </r>
  <r>
    <n v="71"/>
    <s v="Pedrogao"/>
    <s v="Ar livre"/>
    <n v="39.919176999999998"/>
    <n v="-8.9535900000000002"/>
    <s v="superficie"/>
    <x v="0"/>
    <x v="0"/>
    <s v="N/A"/>
    <s v="quartzito, silex"/>
    <s v="nao"/>
    <s v="nao"/>
    <s v="Cascalheira et al. 2021; Portal do Arqueologo, 2021; Pereira et al, 2012"/>
    <m/>
    <m/>
    <m/>
    <m/>
    <m/>
    <m/>
  </r>
  <r>
    <n v="72"/>
    <s v="Pego do Diabo"/>
    <s v="Gruta "/>
    <n v="38.863075000000002"/>
    <n v="-9.2207150000000002"/>
    <s v="3;4"/>
    <x v="0"/>
    <x v="0"/>
    <s v="N/A"/>
    <s v="silex, quartzo"/>
    <s v="nao"/>
    <s v="nao"/>
    <s v="Schmidt et al. 2012; Cascalheira et al. 2021;Portal do Arqueologo, 2021;Zilhao, 1997"/>
    <m/>
    <m/>
    <m/>
    <m/>
    <m/>
    <m/>
  </r>
  <r>
    <n v="73"/>
    <s v="Pego do Diabo"/>
    <s v="Gruta "/>
    <n v="38.863075000000002"/>
    <n v="-9.2207150000000002"/>
    <s v="2 (spit 2b)"/>
    <x v="3"/>
    <x v="1"/>
    <m/>
    <s v="silex"/>
    <s v="sim"/>
    <s v="sim"/>
    <s v="Schmidt et al. 2012; Cascalheira et al. 2021;Portal do Arqueologo, 2021;Zilhao, 1997"/>
    <m/>
    <m/>
    <m/>
    <m/>
    <m/>
    <m/>
  </r>
  <r>
    <n v="74"/>
    <s v="Porto Meirinho"/>
    <s v="Ar livre"/>
    <n v="39.279102999999999"/>
    <n v="-7.4073799999999999"/>
    <s v="Sondagem 2: UE5; A-C/7-9; camda 1 e 2"/>
    <x v="0"/>
    <x v="0"/>
    <s v="N/A"/>
    <s v="quartzito"/>
    <s v="nao"/>
    <s v="nao"/>
    <s v="Cascalheira et al.2021; Portal do Arqueologo, 2021; Pereira et al., 2012"/>
    <m/>
    <m/>
    <m/>
    <m/>
    <m/>
    <m/>
  </r>
  <r>
    <n v="75"/>
    <s v="Praia da Gale"/>
    <s v="Ar livre"/>
    <n v="37.087592000000001"/>
    <n v="-8.3214760000000005"/>
    <s v="superficie"/>
    <x v="0"/>
    <x v="0"/>
    <s v="N/A"/>
    <s v="quartzo, quartzito, silex"/>
    <s v="sim"/>
    <s v="nao"/>
    <s v="Cascalheira et al. 2021;Portal do Arqueologo, 2021"/>
    <m/>
    <m/>
    <m/>
    <m/>
    <m/>
    <m/>
  </r>
  <r>
    <n v="76"/>
    <s v="Praia Rei Cortico"/>
    <s v="Ar livre"/>
    <n v="39.422767"/>
    <n v="-9.2435109999999998"/>
    <s v="PC2b; PC4;PC5b; PC5c"/>
    <x v="0"/>
    <x v="1"/>
    <m/>
    <s v="quartzo, quartzito"/>
    <s v="sim"/>
    <s v="nao"/>
    <s v="Portal do Arqueologo, 2021"/>
    <s v="Segundo o Portal do Arqueologo este sítio tem peças em carvão"/>
    <m/>
    <m/>
    <m/>
    <m/>
    <m/>
  </r>
  <r>
    <n v="77"/>
    <s v="Ribeira da Atalaia"/>
    <s v="Ar livre"/>
    <n v="39.473810999999998"/>
    <n v="-8.4619250000000008"/>
    <s v=" Q4"/>
    <x v="0"/>
    <x v="1"/>
    <m/>
    <s v="quartzito"/>
    <s v="sim"/>
    <s v="nao"/>
    <s v="Cascalheira et al., 2021; Portal do Arqueologo, 2021; Oosterbeek et al. 2020"/>
    <m/>
    <m/>
    <m/>
    <m/>
    <m/>
    <m/>
  </r>
  <r>
    <n v="78"/>
    <s v="Ribeira da Atalaia"/>
    <s v="Ar livre"/>
    <n v="39.473810999999998"/>
    <n v="-8.4619250000000008"/>
    <s v="Q3"/>
    <x v="2"/>
    <x v="1"/>
    <m/>
    <s v="quartzito, silex"/>
    <s v="sim"/>
    <s v="nao"/>
    <s v="Cascalheira et al. 2021; Portal do Arqueologo, 2021; Oosterbeek et al. 2020"/>
    <m/>
    <m/>
    <m/>
    <m/>
    <m/>
    <m/>
  </r>
  <r>
    <n v="79"/>
    <s v="Santa Cita"/>
    <s v="Ar livre"/>
    <n v="39.552415000000003"/>
    <n v="-8.3903470000000002"/>
    <s v=" B; C"/>
    <x v="0"/>
    <x v="0"/>
    <s v="N/A"/>
    <s v="quartzo, quartzito, silex"/>
    <s v="nao"/>
    <s v="nao"/>
    <s v="Cascalheira et al.2021; Portal do Arqueologo, 2021; Pedergnana et al. 2011"/>
    <m/>
    <m/>
    <m/>
    <m/>
    <m/>
    <m/>
  </r>
  <r>
    <n v="80"/>
    <s v="Santo Antao do Tojal"/>
    <s v="Ar livre"/>
    <n v="38.858704000000003"/>
    <n v="-9.1427589999999999"/>
    <s v="Niveis 1-5"/>
    <x v="0"/>
    <x v="1"/>
    <m/>
    <s v="silex, quartzo, quartzito"/>
    <s v="sim"/>
    <s v="sim"/>
    <s v="Cascalheira et al. 2021; Portal do Arqueologo, 2021, Raposo, 1995"/>
    <m/>
    <m/>
    <m/>
    <m/>
    <m/>
    <m/>
  </r>
  <r>
    <n v="81"/>
    <s v="Sapateiros 2"/>
    <s v="Ar livre"/>
    <n v="38.404792"/>
    <n v="-7.3819710000000001"/>
    <s v="3; 4 "/>
    <x v="0"/>
    <x v="0"/>
    <s v="N/A"/>
    <s v="quartzito, quartzo"/>
    <s v="sim"/>
    <s v="nao"/>
    <s v="Cascalheira et al, 2021; Portal do Arqueologo, 2021, Cunha Ribeiro e Cura, 2013"/>
    <m/>
    <m/>
    <m/>
    <m/>
    <m/>
    <m/>
  </r>
  <r>
    <n v="82"/>
    <s v="Tapada do Montinho"/>
    <s v="Ar livre"/>
    <n v="39.912013000000002"/>
    <n v="-7.6900219999999999"/>
    <s v="C3"/>
    <x v="0"/>
    <x v="0"/>
    <s v="N/A"/>
    <s v="silex, quartzito, quartzo"/>
    <s v="sim"/>
    <s v="nao"/>
    <s v="Cascalheira et al, 2021; Portal do Arqueologo, 2021, Almeida et al, 2011"/>
    <m/>
    <m/>
    <m/>
    <m/>
    <m/>
    <m/>
  </r>
  <r>
    <n v="83"/>
    <s v="Terra do Jose Pereira"/>
    <s v="Ar livre"/>
    <n v="39.342095999999998"/>
    <n v="-8.9927229999999998"/>
    <s v="superficie"/>
    <x v="1"/>
    <x v="0"/>
    <s v="N/A"/>
    <s v="silex, quartzo"/>
    <s v="sim"/>
    <s v="nao"/>
    <s v="Cascalheira et al. 2018; portal do Arqueologo,2021; Zilhao,1997"/>
    <m/>
    <m/>
    <m/>
    <m/>
    <m/>
    <m/>
  </r>
  <r>
    <n v="84"/>
    <s v="Terra do Manuel "/>
    <s v="Ar livre"/>
    <n v="39.344776000000003"/>
    <n v="-8.9912960000000002"/>
    <s v="3; 5"/>
    <x v="2"/>
    <x v="1"/>
    <m/>
    <s v="quartzito, silex"/>
    <s v="sim"/>
    <s v="sim"/>
    <s v="Cascalheira et al. 2018;Portal do Arqueologo, 2021; Zilhao, 1997"/>
    <m/>
    <m/>
    <m/>
    <m/>
    <m/>
    <m/>
  </r>
  <r>
    <n v="85"/>
    <s v="Terra do Manuel "/>
    <s v="Ar livre"/>
    <n v="39.344776000000003"/>
    <n v="-8.9912960000000002"/>
    <n v="2"/>
    <x v="1"/>
    <x v="1"/>
    <m/>
    <s v="quartzito, silex"/>
    <s v="sim"/>
    <s v="sim"/>
    <s v="Cascalheira et al. 2018; portal do Arqueologo,2021; Zilhao,1997"/>
    <m/>
    <m/>
    <m/>
    <m/>
    <m/>
    <m/>
  </r>
  <r>
    <n v="86"/>
    <s v="Vale Boi"/>
    <s v="Abrigo"/>
    <n v="37.090102999999999"/>
    <n v="-8.8042549999999995"/>
    <s v="C1 (rockshelter); 3 (slope); 4 (terrace)"/>
    <x v="2"/>
    <x v="1"/>
    <m/>
    <s v="quartzo, silex"/>
    <s v="sim"/>
    <s v="sim"/>
    <s v="Schmidt et al. 2012;Portal do Arqueologo, 2021"/>
    <m/>
    <m/>
    <m/>
    <m/>
    <m/>
    <m/>
  </r>
  <r>
    <n v="87"/>
    <s v="Vale Boi"/>
    <s v="Abrigo"/>
    <n v="37.090102999999999"/>
    <n v="-8.8042549999999995"/>
    <s v=" 2 (slope); A (base, rockshelter); B6 (rockshelter)"/>
    <x v="1"/>
    <x v="1"/>
    <m/>
    <s v="quartzo, silex"/>
    <s v="sim"/>
    <s v="sim"/>
    <s v="Schmidt et al. 2012;Portal do Arqueologo, 2021"/>
    <m/>
    <m/>
    <m/>
    <m/>
    <m/>
    <m/>
  </r>
  <r>
    <n v="88"/>
    <s v="Vale Comprido - Barraca"/>
    <s v="Ar livre"/>
    <n v="39.328778999999997"/>
    <n v="-8.9827790000000007"/>
    <s v="N/A"/>
    <x v="2"/>
    <x v="0"/>
    <s v="N/A"/>
    <s v="silex, quartzo"/>
    <s v="sim"/>
    <s v="sim"/>
    <s v="Cascalheira et al. 2018; portal do Arqueologo,2021;Zilhao, 1997"/>
    <m/>
    <m/>
    <m/>
    <m/>
    <m/>
    <m/>
  </r>
  <r>
    <n v="89"/>
    <s v="Vale Comprido - Cruzamento"/>
    <s v="Ar livre"/>
    <n v="39.328403000000002"/>
    <n v="-8.9820340000000005"/>
    <s v="X-X7; A (9-14);B(9-13);C(10-14);D(10-14);E(12,14);F12"/>
    <x v="2"/>
    <x v="1"/>
    <m/>
    <s v="silex, quartzo, quartzito, basalto"/>
    <s v="sim"/>
    <s v="nao"/>
    <s v="Cascalheira et al. 2018; portal do Arqueologo,2021; Zilhao,1997"/>
    <m/>
    <m/>
    <m/>
    <m/>
    <m/>
    <m/>
  </r>
  <r>
    <n v="90"/>
    <s v="Vale Comprido - Encosta"/>
    <s v="Ar livre"/>
    <n v="39.328150000000001"/>
    <n v="-8.9831430000000001"/>
    <s v="A-F"/>
    <x v="1"/>
    <x v="0"/>
    <s v="N/A"/>
    <s v="silex, quartzo,quartzito"/>
    <s v="sim"/>
    <s v="nao"/>
    <s v="Cascalheira et al. 2018; portal do Arqueologo,2021;Zilhao, 1997"/>
    <m/>
    <m/>
    <m/>
    <m/>
    <m/>
    <m/>
  </r>
  <r>
    <n v="91"/>
    <s v="Vale da Almoinha"/>
    <s v="Ar livre"/>
    <n v="39.075302000000001"/>
    <n v="-9.4019209999999998"/>
    <s v="Nivel I-II"/>
    <x v="1"/>
    <x v="1"/>
    <m/>
    <s v="silex, quartzito"/>
    <s v="sim"/>
    <s v="nao"/>
    <s v="Cascalheira et al. 2018; zilhao, 1997"/>
    <m/>
    <m/>
    <m/>
    <m/>
    <m/>
    <m/>
  </r>
  <r>
    <n v="92"/>
    <s v="Vale das Buracas"/>
    <s v="Ar livre"/>
    <n v="40.046132"/>
    <n v="-8.4957279999999997"/>
    <s v="UE3"/>
    <x v="2"/>
    <x v="0"/>
    <s v="N/A"/>
    <s v="silex,quartzo"/>
    <s v="sim"/>
    <s v="sim"/>
    <s v="Schmidt et al. 2012;Portal do Arqueologo, 2021; Almeida et al, 1999"/>
    <m/>
    <m/>
    <m/>
    <m/>
    <m/>
    <m/>
  </r>
  <r>
    <n v="93"/>
    <s v="Vale das Buracas"/>
    <s v="Ar livre"/>
    <n v="40.046132"/>
    <n v="-8495728"/>
    <s v="UE3"/>
    <x v="1"/>
    <x v="0"/>
    <s v="N/A"/>
    <s v="silex,quartzo"/>
    <s v="sim"/>
    <s v="sim"/>
    <s v="Schmidt et al. 2012; portal do Arqueologo, 2021; Almeida et al. 1999"/>
    <m/>
    <m/>
    <m/>
    <m/>
    <m/>
    <m/>
  </r>
  <r>
    <n v="94"/>
    <s v="Vale dos Porcos I"/>
    <s v="Ar livre"/>
    <n v="39.332869000000002"/>
    <n v="-8.9177049999999998"/>
    <s v="N/A"/>
    <x v="3"/>
    <x v="0"/>
    <s v="N/A"/>
    <s v="silex, quartzito"/>
    <s v="sim"/>
    <s v="nao"/>
    <s v="Cascalheira et al. 2018; Portal do Arqueologo, 2021; Zilhao, 1997"/>
    <m/>
    <m/>
    <m/>
    <m/>
    <m/>
    <m/>
  </r>
  <r>
    <n v="95"/>
    <s v="Vale dos Porcos I"/>
    <s v="Ar livre"/>
    <n v="39.332869000000002"/>
    <n v="-8.9177049999999998"/>
    <s v="N/A"/>
    <x v="2"/>
    <x v="0"/>
    <s v="N/A"/>
    <s v="silex,quartzito"/>
    <s v="sim"/>
    <s v="nao"/>
    <s v="Portal do Arqueologo, 2021; Zilhao, 1997"/>
    <m/>
    <m/>
    <m/>
    <m/>
    <m/>
    <m/>
  </r>
  <r>
    <n v="96"/>
    <s v="Vale dos Porcos II"/>
    <s v="Ar livre"/>
    <n v="39.331856999999999"/>
    <n v="-8.9189659999999993"/>
    <s v="N/A"/>
    <x v="3"/>
    <x v="0"/>
    <s v="N/A"/>
    <s v="silex,quartzito, quartzo"/>
    <s v="sim"/>
    <s v="nao"/>
    <s v="Portal do Arqueologo, 2021; Zilhao, 1997"/>
    <m/>
    <m/>
    <m/>
    <m/>
    <m/>
    <m/>
  </r>
  <r>
    <n v="97"/>
    <s v="Vales da Senhora da Luz"/>
    <s v="Ar livre"/>
    <n v="39.344726000000001"/>
    <n v="-8.9913410000000002"/>
    <s v="superficie"/>
    <x v="2"/>
    <x v="0"/>
    <s v="N/A"/>
    <s v="silex, quartzo,quartzito"/>
    <s v="sim"/>
    <s v="nao"/>
    <s v="cascalheira et al. 2018; portal do Arqueologo,2021; Zilhao,1997"/>
    <m/>
    <m/>
    <m/>
    <m/>
    <m/>
    <m/>
  </r>
  <r>
    <n v="98"/>
    <s v="Vascas"/>
    <s v="Ar livre"/>
    <n v="39.351531000000001"/>
    <n v="-8.9335629999999995"/>
    <s v="N/A"/>
    <x v="3"/>
    <x v="0"/>
    <s v="N/A"/>
    <s v="silex"/>
    <s v="sim"/>
    <s v="nao"/>
    <s v="Cascalheira et al. 2018; Portal do Arqueologo, 2021; Zilhao, 1997"/>
    <m/>
    <m/>
    <m/>
    <m/>
    <m/>
    <m/>
  </r>
  <r>
    <n v="99"/>
    <s v="Vascas"/>
    <s v="Ar livre"/>
    <n v="39.351531000000001"/>
    <n v="-8.9335629999999995"/>
    <s v="N/A"/>
    <x v="2"/>
    <x v="0"/>
    <s v="N/A"/>
    <s v="silex"/>
    <s v="sim"/>
    <s v="nao"/>
    <s v="Cascalheira et al. 2018; Portal do Arqueologo,2021; Zilhao,1997"/>
    <m/>
    <m/>
    <m/>
    <m/>
    <m/>
    <m/>
  </r>
  <r>
    <n v="100"/>
    <s v="Vilas ruivas"/>
    <s v="Ar livre"/>
    <n v="39.641950999999999"/>
    <n v="-7.6992599999999998"/>
    <s v="A;B-I;B-II"/>
    <x v="0"/>
    <x v="1"/>
    <m/>
    <s v="quartzo, quartzito, silex"/>
    <s v="sim"/>
    <s v="nao"/>
    <s v="Portal do Arqueologo, 2021; Raposo, 1995"/>
    <m/>
    <m/>
    <m/>
    <m/>
    <m/>
    <m/>
  </r>
  <r>
    <n v="101"/>
    <s v="Vale da Porta"/>
    <s v="Ar livre"/>
    <n v="40.282223999999999"/>
    <n v="-8.5527719999999992"/>
    <s v="superficie"/>
    <x v="0"/>
    <x v="0"/>
    <s v="N/A"/>
    <s v="silex"/>
    <s v="não"/>
    <s v="nao"/>
    <s v="Cascalheira et al, 2021; Portal do Arqueologo, 2021; Pereira et al, 2012"/>
    <s v="Verificar se fica acima dos 40ºlatitude, existem ainda Vale da Porta 2 e 3 tambem Paleolitico Medio"/>
    <m/>
    <m/>
    <m/>
    <m/>
    <m/>
  </r>
  <r>
    <n v="102"/>
    <s v="Vale do Forno 8"/>
    <s v="Ar livre"/>
    <n v="39.244917000000001"/>
    <n v="-8.5778110000000005"/>
    <s v="VF2;VF8"/>
    <x v="0"/>
    <x v="1"/>
    <m/>
    <s v="silex, quartzo, quartzito"/>
    <s v="sim"/>
    <s v="nao"/>
    <s v="Cascalheira et al, 2021; Portal do Arqueologo, 2021; Raposo, 1995"/>
    <m/>
    <m/>
    <m/>
    <m/>
    <m/>
    <m/>
  </r>
  <r>
    <n v="103"/>
    <s v="Vale Santo"/>
    <s v="Ar livre"/>
    <n v="37.049706"/>
    <n v="-8.9613619999999994"/>
    <s v="superficie"/>
    <x v="0"/>
    <x v="0"/>
    <s v="N/A"/>
    <s v="silex, quartzo, quartzito"/>
    <s v="sim"/>
    <s v="nao"/>
    <s v="Cascalheira et al, 2021; Portal do Arqueologo, 2021; Maio, 2018"/>
    <m/>
    <m/>
    <m/>
    <m/>
    <m/>
    <m/>
  </r>
  <r>
    <n v="104"/>
    <s v="Abrigo del Capurri"/>
    <s v="Abrigo"/>
    <n v="38.813507999999999"/>
    <n v="7.7501E-2"/>
    <s v="N/A"/>
    <x v="1"/>
    <x v="0"/>
    <s v="N/A"/>
    <s v="N/A"/>
    <s v="N/A"/>
    <s v="N/A"/>
    <s v="Schmidt et al. 2012; Cascalheira e Bicho, 2015"/>
    <m/>
    <m/>
    <m/>
    <m/>
    <m/>
    <m/>
  </r>
  <r>
    <n v="105"/>
    <s v="Bolomor"/>
    <s v="Gruta "/>
    <n v="39.059376999999998"/>
    <n v="-0.24986800000000001"/>
    <s v="IV-III"/>
    <x v="0"/>
    <x v="1"/>
    <m/>
    <s v="silex"/>
    <s v="sim"/>
    <s v="sim"/>
    <s v="Vermeersh, 2020;Fernadez Peris et al, 2010"/>
    <s v="Presença de ossos humanos"/>
    <m/>
    <m/>
    <m/>
    <m/>
    <m/>
  </r>
  <r>
    <n v="106"/>
    <s v="Cochino"/>
    <s v="Gruta "/>
    <n v="38.641019"/>
    <n v="-0.85829999999999995"/>
    <s v="II-III"/>
    <x v="0"/>
    <x v="0"/>
    <s v="N/A"/>
    <s v="silex"/>
    <s v="sim"/>
    <s v="sim"/>
    <s v="Schmidt et al.2012; Vermeesch, 2020; Bonilla, 1984."/>
    <m/>
    <m/>
    <m/>
    <m/>
    <m/>
    <m/>
  </r>
  <r>
    <n v="107"/>
    <s v="Complejo del Humo - Abrigo 4"/>
    <s v="Abrigo"/>
    <n v="36.713194000000001"/>
    <n v="-4.3197020000000004"/>
    <s v="II"/>
    <x v="0"/>
    <x v="0"/>
    <s v="N/A"/>
    <s v="calcario,silex"/>
    <s v="sim"/>
    <s v="nao"/>
    <s v="Schmidt et al. 2012; Vermeesch, 2020; Fernandez et al. 1998"/>
    <m/>
    <m/>
    <m/>
    <m/>
    <m/>
    <m/>
  </r>
  <r>
    <n v="108"/>
    <s v="Cova Ampla del Cap Gros"/>
    <s v="Abrigo"/>
    <n v="38.811422"/>
    <n v="8.9177000000000006E-2"/>
    <s v="remexido"/>
    <x v="1"/>
    <x v="0"/>
    <s v="N/A"/>
    <s v="N/A"/>
    <s v="N/A"/>
    <s v="N/A"/>
    <s v="Schmidt et al. 2012; Cascalheira 2013"/>
    <m/>
    <m/>
    <m/>
    <m/>
    <m/>
    <m/>
  </r>
  <r>
    <n v="109"/>
    <s v="Cova de les Cendres"/>
    <s v="Gruta "/>
    <n v="38.685899999999997"/>
    <n v="0.1522"/>
    <s v=" XIV; XVIA; XVIC"/>
    <x v="2"/>
    <x v="1"/>
    <m/>
    <s v="silex, calcario, quartzo"/>
    <s v="sim"/>
    <s v="sim"/>
    <s v="Schmidt et al. 2012; Vermeesch. 2020; Real et al, 2019; Vilaverde et al. 1999; Villaverde e Roman, 2004"/>
    <m/>
    <m/>
    <m/>
    <m/>
    <m/>
    <m/>
  </r>
  <r>
    <n v="110"/>
    <s v="Cova de les Cendres"/>
    <s v="Gruta "/>
    <n v="38.685899999999997"/>
    <n v="0.1522"/>
    <s v=" XIIIB"/>
    <x v="1"/>
    <x v="1"/>
    <m/>
    <s v="silex,quartzo"/>
    <s v="sim"/>
    <s v="sim"/>
    <s v="Schmidt et al. 2012; Vermeesch. 2020; Villaverde e Roman, 2004"/>
    <m/>
    <m/>
    <m/>
    <m/>
    <m/>
    <m/>
  </r>
  <r>
    <n v="111"/>
    <s v="Cova Foradada (ou Forada)"/>
    <s v="Gruta "/>
    <n v="38.813999000000003"/>
    <n v="-0.170094"/>
    <s v="Sector II, II; Sector II,V"/>
    <x v="3"/>
    <x v="1"/>
    <m/>
    <s v="N/A"/>
    <s v="N/A"/>
    <s v="sim"/>
    <s v="schmidt et al. 2012; Vermeersh, 2021; Zilhao, 2006; Arsuaga et al, 2001"/>
    <s v="Presença de ossos humanos"/>
    <m/>
    <m/>
    <m/>
    <m/>
    <m/>
  </r>
  <r>
    <n v="112"/>
    <s v="Cova Foradada (ou Forada)"/>
    <s v="Gruta "/>
    <n v="38.813999000000003"/>
    <n v="-0.170094"/>
    <s v="III"/>
    <x v="0"/>
    <x v="1"/>
    <m/>
    <s v="N/A"/>
    <s v="N/A"/>
    <s v="sim"/>
    <s v="Schmidt et al. 2012; Vermeersch, 2020; Zilhao, 2006; Bonilla, 1984"/>
    <m/>
    <m/>
    <m/>
    <m/>
    <m/>
    <m/>
  </r>
  <r>
    <n v="113"/>
    <s v="Cova del Llop"/>
    <s v="Gruta "/>
    <n v="38.992750999999998"/>
    <n v="-0.22727"/>
    <s v="20 cm- 1m"/>
    <x v="1"/>
    <x v="0"/>
    <s v="N/A"/>
    <s v="silex, calcário"/>
    <s v="sim"/>
    <s v="sim"/>
    <s v="Schmidt et al.2012; Vermeesch, 202;  Aparicio Perez et al. 1976"/>
    <m/>
    <m/>
    <m/>
    <m/>
    <m/>
    <m/>
  </r>
  <r>
    <n v="114"/>
    <s v="Cova de les Maravelles"/>
    <s v="Gruta "/>
    <s v="38.970639"/>
    <s v="´-0.227152"/>
    <s v="remexido"/>
    <x v="1"/>
    <x v="1"/>
    <m/>
    <s v="silex"/>
    <s v="sim"/>
    <s v="sim"/>
    <s v="Schmidt et al.2012; Vermeesch, 2020; Bonilla e Sanchez, 1981"/>
    <m/>
    <m/>
    <m/>
    <m/>
    <m/>
    <m/>
  </r>
  <r>
    <n v="115"/>
    <s v="Cova del Moro"/>
    <s v="Gruta "/>
    <s v=" 38.702243"/>
    <s v="  0.151262"/>
    <s v="sector 2"/>
    <x v="1"/>
    <x v="1"/>
    <m/>
    <s v="quartzo, silex"/>
    <s v="sim"/>
    <s v="sim"/>
    <s v="Schmidt el al. 2012; Vermeesch, 2020; Roman et al. 2019"/>
    <m/>
    <m/>
    <m/>
    <m/>
    <m/>
    <m/>
  </r>
  <r>
    <n v="116"/>
    <s v="Cova Negra"/>
    <s v="Gruta "/>
    <n v="38.982883999999999"/>
    <s v="´-0,0.517463"/>
    <s v="Nivel A-E"/>
    <x v="0"/>
    <x v="0"/>
    <s v="N/A"/>
    <s v="silex, quartzo, quartzito, calcario"/>
    <s v="sim"/>
    <s v="sim"/>
    <s v="Schmidt et al. 2012; Vermeesch, 2020; Bonilla, 1984"/>
    <m/>
    <m/>
    <m/>
    <m/>
    <m/>
    <m/>
  </r>
  <r>
    <n v="117"/>
    <s v="Cova Negra"/>
    <s v="Gruta "/>
    <n v="38.982883999999999"/>
    <s v="´-0,517463"/>
    <s v="Nivel A-B"/>
    <x v="3"/>
    <x v="0"/>
    <s v="N/A"/>
    <s v="silex, quartzo, quartzito, calcario"/>
    <s v="sim"/>
    <s v="sim"/>
    <s v="Schmidt et al. 2012; Vermeesch, 2020; Bonilla, 1984"/>
    <m/>
    <m/>
    <m/>
    <m/>
    <m/>
    <m/>
  </r>
  <r>
    <n v="118"/>
    <s v="Cova Vermelha"/>
    <s v="Gruta "/>
    <n v="37.587899999999998"/>
    <n v="-10336"/>
    <s v="N/A"/>
    <x v="1"/>
    <x v="0"/>
    <s v="N/A"/>
    <s v="quartzito, silex"/>
    <s v="sim"/>
    <s v="sim"/>
    <s v="Vermeesch, 2020; Bernardez, 1980"/>
    <m/>
    <m/>
    <m/>
    <m/>
    <m/>
    <m/>
  </r>
  <r>
    <n v="119"/>
    <s v="Cova dels Porcs"/>
    <s v="Gruta "/>
    <n v="38.941903000000003"/>
    <n v="-0.20353199999999999"/>
    <s v="N/A"/>
    <x v="1"/>
    <x v="0"/>
    <s v="N/A"/>
    <s v="N/A"/>
    <s v="sim"/>
    <s v="N/A"/>
    <s v="Schmidt et al. 2012; Bonilla, 1979; Bonilla e Sanchez, 1981"/>
    <s v="A analise litica não refere qual a materia-prima"/>
    <m/>
    <m/>
    <m/>
    <m/>
    <m/>
  </r>
  <r>
    <n v="120"/>
    <s v="Cova Perneras"/>
    <s v="Gruta "/>
    <n v="37.534999999999997"/>
    <n v="-1.42"/>
    <s v="gamma;delta; epsilon; zeta;eta"/>
    <x v="3"/>
    <x v="0"/>
    <s v="N/A"/>
    <s v="silex, quartzo, quartzito, calcario"/>
    <s v="sim"/>
    <s v="sim"/>
    <s v="Schmidt et al. 2012; Bernardez, 1980; Cacho, 1981"/>
    <m/>
    <m/>
    <m/>
    <m/>
    <m/>
    <m/>
  </r>
  <r>
    <n v="121"/>
    <s v="Cova Perneras "/>
    <s v="Gruta "/>
    <n v="37.53"/>
    <n v="-1.42"/>
    <s v="gamma;delta; epsilon; zeta;eta"/>
    <x v="0"/>
    <x v="0"/>
    <s v="N/A"/>
    <s v="silex, quartzo, quartzito, calcario"/>
    <s v="sim"/>
    <s v="sim"/>
    <s v="Schmidt et al. 2012; Bernardez, 1980; Cacho, 1981"/>
    <m/>
    <m/>
    <m/>
    <m/>
    <m/>
    <m/>
  </r>
  <r>
    <n v="122"/>
    <s v="Cueva Anton"/>
    <s v="Gruta "/>
    <n v="38.064399999999999"/>
    <n v="-1.4964"/>
    <s v="I-k, II-a,_x000a_II-c; II-b; II-d (nos quadrados J19, K19, J18)"/>
    <x v="0"/>
    <x v="1"/>
    <m/>
    <s v="calcario,silex"/>
    <s v="sim"/>
    <s v="sim"/>
    <s v="Schmidt et al. 2012; Vermeesch, 2020; Angelucci et al. 2013; Martinez Sanchez, 1995"/>
    <m/>
    <m/>
    <m/>
    <m/>
    <m/>
    <m/>
  </r>
  <r>
    <n v="123"/>
    <s v="Cueva Ambrosio"/>
    <s v="Gruta "/>
    <n v="37.831899999999997"/>
    <n v="-2.0956000000000001"/>
    <s v=" II; IV; VI"/>
    <x v="1"/>
    <x v="1"/>
    <m/>
    <s v="silex"/>
    <s v="sim"/>
    <s v="sim"/>
    <s v="Schmidt et al. 2012; Vermeesch. 2020; Cascalheira, 2013"/>
    <m/>
    <m/>
    <m/>
    <m/>
    <m/>
    <m/>
  </r>
  <r>
    <n v="124"/>
    <s v="Cueva Beneito"/>
    <s v="Gruta "/>
    <n v="38.757002"/>
    <n v="-0.65728900000000001"/>
    <s v="D3-D1;C4-C1; B4-B1"/>
    <x v="0"/>
    <x v="1"/>
    <m/>
    <s v="silex"/>
    <s v="sim"/>
    <s v="sim"/>
    <s v="Schmidt et al. 2012; Zilhao, 2006; Iturbe et al. 1993"/>
    <m/>
    <m/>
    <m/>
    <m/>
    <m/>
    <m/>
  </r>
  <r>
    <n v="125"/>
    <s v="Cueva Beneito"/>
    <s v="Gruta "/>
    <n v="38.757002"/>
    <n v="-0.65728900000000001"/>
    <s v=" C2; C4"/>
    <x v="3"/>
    <x v="1"/>
    <m/>
    <s v="silex"/>
    <s v="sim"/>
    <s v="sim"/>
    <s v="Schmidt et al. 2012;Zilhao, 2006; Iturbe et al. 1993; Faus et al. 2012"/>
    <m/>
    <m/>
    <m/>
    <m/>
    <m/>
    <m/>
  </r>
  <r>
    <n v="126"/>
    <s v="Cueva Beneito"/>
    <s v="Gruta "/>
    <n v="38.757002"/>
    <n v="-0.65728900000000001"/>
    <s v="B7 - B3"/>
    <x v="2"/>
    <x v="0"/>
    <s v="N/A"/>
    <s v="silex"/>
    <s v="sim"/>
    <s v="sim"/>
    <s v="Schmidt et al. 2012; Domenech Faus et al. 2012; Iturbe et al. 1993"/>
    <m/>
    <m/>
    <m/>
    <m/>
    <m/>
    <m/>
  </r>
  <r>
    <n v="127"/>
    <s v="Cueva Beneito"/>
    <s v="Gruta "/>
    <n v="38.757002"/>
    <n v="-0.65728900000000001"/>
    <s v="B2; B4-B6"/>
    <x v="1"/>
    <x v="1"/>
    <m/>
    <s v="silex"/>
    <s v="sim"/>
    <s v="sim"/>
    <s v="Schmidt at al. 2012; Domenech Faus et al. 2012; Iturbe et al. 1993"/>
    <m/>
    <m/>
    <m/>
    <m/>
    <m/>
    <m/>
  </r>
  <r>
    <n v="128"/>
    <s v="Cueva Boquete de Zafarraya"/>
    <s v="Gruta "/>
    <n v="36.9512"/>
    <n v="-4.1266999999999996"/>
    <s v="UE7-UE34"/>
    <x v="0"/>
    <x v="1"/>
    <m/>
    <s v="silex"/>
    <s v="sim"/>
    <s v="sim"/>
    <s v="Schmidt et al. 2012; Vermeesch, 2020; Perez, 199; Barroso-Ruiz e Lumley, 2006; Barroso et al. 2003"/>
    <s v="Presença de ossos de neandertais"/>
    <m/>
    <m/>
    <m/>
    <m/>
    <m/>
  </r>
  <r>
    <n v="129"/>
    <s v="Cueva Boquete de Zafarraya"/>
    <s v="Gruta "/>
    <n v="36.9512"/>
    <n v="-4.1266999999999996"/>
    <s v="UE4 - UE6"/>
    <x v="3"/>
    <x v="0"/>
    <s v="N/A"/>
    <s v="silex"/>
    <s v="sim"/>
    <s v="sim"/>
    <s v="Schmidt et al. 2012; Vermeesch, 2020; Perez, 1998; Barroso-Ruiz e Lumley, 2006; Barroso et al. 2003"/>
    <m/>
    <m/>
    <m/>
    <m/>
    <m/>
    <m/>
  </r>
  <r>
    <n v="130"/>
    <s v="Cueva Boquete de Zafarraya"/>
    <s v="Gruta "/>
    <n v="36.9512"/>
    <n v="-4.1266999999999996"/>
    <s v="UE4 - UE6"/>
    <x v="2"/>
    <x v="0"/>
    <s v="N/A"/>
    <s v="silex"/>
    <s v="sim"/>
    <s v="sim"/>
    <s v="Schmidt et al. 2012; Vermeesch, 2020; Perez, 1998; Barroso-Ruiz e Lumley, 2006; Barroso et al. 2003"/>
    <m/>
    <m/>
    <m/>
    <m/>
    <m/>
    <m/>
  </r>
  <r>
    <n v="131"/>
    <s v="Cueva Boquete de Zafarraya"/>
    <s v="Gruta "/>
    <n v="39.9512"/>
    <n v="-4.1266999999999996"/>
    <s v="UE4 - UE6"/>
    <x v="1"/>
    <x v="1"/>
    <m/>
    <s v="silex"/>
    <s v="sim"/>
    <s v="sim"/>
    <s v="Schmidt et al. 2012; Vermeesch, 2020;Perez, 1998; Barroso-Ruiz e Lumley, 2006; Barroso et al. 2003"/>
    <m/>
    <m/>
    <m/>
    <m/>
    <m/>
    <m/>
  </r>
  <r>
    <n v="132"/>
    <s v="Cueva de Barranc Blanc"/>
    <s v="Gruta "/>
    <n v="38.933007000000003"/>
    <n v="-0.26249600000000001"/>
    <s v="7;8;9"/>
    <x v="2"/>
    <x v="1"/>
    <m/>
    <s v="calcario,silex"/>
    <s v="nao"/>
    <s v="sim "/>
    <s v="Schmidt et al, 2012;Vermeesch, 2020; Bonilla e Sanchez. 1981; Viciano, 1982; Villaverde e Roman, 2013"/>
    <s v="Presebça de ossos humanos"/>
    <m/>
    <m/>
    <m/>
    <m/>
    <m/>
  </r>
  <r>
    <n v="133"/>
    <s v="Cueva de Barranc Blanc"/>
    <s v="Gruta "/>
    <n v="38.933007000000003"/>
    <n v="-0.26249600000000001"/>
    <s v="6;7"/>
    <x v="1"/>
    <x v="1"/>
    <m/>
    <s v="calcario,silex"/>
    <s v="sim"/>
    <s v="sim"/>
    <s v="Schmidt et al. 2012; Vermeessch, 2020; Bonilla e Sanchez, 1981; Villaverde e Roman, 2013"/>
    <m/>
    <m/>
    <m/>
    <m/>
    <m/>
    <m/>
  </r>
  <r>
    <n v="134"/>
    <s v="Cueva de Cejo del Pantano"/>
    <s v="Abrigo"/>
    <n v="37.75"/>
    <n v="-1.54"/>
    <s v="sem UE "/>
    <x v="1"/>
    <x v="0"/>
    <s v="N/A"/>
    <s v="silex, quartzo"/>
    <s v="sim"/>
    <s v="sim"/>
    <s v="Schmidt et al. 2012; Vermeesch, 2020; Cacho, 1981"/>
    <m/>
    <m/>
    <m/>
    <m/>
    <m/>
    <m/>
  </r>
  <r>
    <n v="135"/>
    <s v="Cueva de la Cariguela"/>
    <s v="Gruta "/>
    <n v="34.444099999999999"/>
    <n v="-3.4331"/>
    <s v="XII-V"/>
    <x v="0"/>
    <x v="1"/>
    <m/>
    <s v="silex"/>
    <s v="sim"/>
    <s v="sim"/>
    <s v="Schmidt el al. 2012; Perez,1998;Zilhao, 2006;  Reys et al. 2008; Carrion et al. 2019"/>
    <m/>
    <m/>
    <m/>
    <m/>
    <m/>
    <m/>
  </r>
  <r>
    <n v="136"/>
    <s v="Cueva de les Mallaetes"/>
    <s v="Gruta "/>
    <n v="39.021000000000001"/>
    <n v="-0.29959999999999998"/>
    <s v="VIII"/>
    <x v="3"/>
    <x v="1"/>
    <m/>
    <s v="silex"/>
    <s v="sim"/>
    <s v="sim"/>
    <s v="Schmidt et al. 2012;Vermeesch, 2020; Fortea e Jorda, 1976"/>
    <m/>
    <m/>
    <m/>
    <m/>
    <m/>
    <m/>
  </r>
  <r>
    <n v="137"/>
    <s v="Cueva de les Mallaetes"/>
    <s v="Gruta "/>
    <n v="39.021000000000001"/>
    <n v="-0.29959999999999998"/>
    <s v="VIII;IX-X; Level 12 (sector E) - 275 to - 290 cm"/>
    <x v="2"/>
    <x v="1"/>
    <m/>
    <s v="silex"/>
    <s v="sim"/>
    <s v="sim"/>
    <s v="Schmidt et al. 2012;  Vermeesch, 2020; Forta e Jorda, 1976"/>
    <m/>
    <m/>
    <m/>
    <m/>
    <m/>
    <m/>
  </r>
  <r>
    <n v="138"/>
    <s v="Cueva de les Mallaetes"/>
    <s v="Gruta "/>
    <n v="39.021000000000001"/>
    <n v="-0.29959999999999998"/>
    <s v="II; III;  V-VI"/>
    <x v="1"/>
    <x v="1"/>
    <m/>
    <s v="silex"/>
    <s v="sim"/>
    <s v="sim"/>
    <s v="Schmidt el al. 2012; Vermeesch 2020; Fortea e Jorda, 1976"/>
    <m/>
    <m/>
    <m/>
    <m/>
    <m/>
    <m/>
  </r>
  <r>
    <n v="139"/>
    <s v="Cueva de los Aviones"/>
    <s v="Gruta "/>
    <n v="37.585299999999997"/>
    <n v="-0.98580000000000001"/>
    <s v="I-V"/>
    <x v="0"/>
    <x v="1"/>
    <m/>
    <s v="quartzo, silex"/>
    <s v="sim"/>
    <s v="sim"/>
    <s v="Schmidt el al. 2012; Zilhao et al. 2010"/>
    <m/>
    <m/>
    <m/>
    <m/>
    <m/>
    <m/>
  </r>
  <r>
    <n v="140"/>
    <s v="Cueva de los Morceguillos"/>
    <s v="Gruta "/>
    <n v="37.216700000000003"/>
    <n v="-2.0661999999999998"/>
    <s v="Nivel Inferior, Medio e Superior"/>
    <x v="2"/>
    <x v="0"/>
    <s v="N/A"/>
    <s v="silex, quartzo, quartzito"/>
    <s v="sim"/>
    <s v="sim"/>
    <s v="Schmidt et al. 2012; Vermeesch, 2020; Cacho, 1981"/>
    <m/>
    <m/>
    <m/>
    <m/>
    <m/>
    <m/>
  </r>
  <r>
    <n v="141"/>
    <s v="Cueva de los Morceguillos"/>
    <s v="Gruta "/>
    <n v="37.216700000000003"/>
    <n v="-2.0667"/>
    <s v="Nivel Inferior, Medio e Superior"/>
    <x v="1"/>
    <x v="0"/>
    <s v="N/A"/>
    <s v="silex, quartzo, quartzito"/>
    <s v="sim"/>
    <s v="sim"/>
    <s v="Schmidt el al. 2012; Vermeesch, 2020; Cacho, 1981"/>
    <m/>
    <m/>
    <m/>
    <m/>
    <m/>
    <m/>
  </r>
  <r>
    <n v="142"/>
    <s v="Cueva de los Ojos"/>
    <s v="Gruta "/>
    <n v="36.985100000000003"/>
    <n v="-3.5619999999999998"/>
    <s v="II"/>
    <x v="1"/>
    <x v="0"/>
    <s v="N/A"/>
    <s v="silex"/>
    <s v="sim"/>
    <s v="sim"/>
    <s v="Schmidt et al. 2012; Vermeesch, 2020; Fernandez, 2000"/>
    <m/>
    <m/>
    <m/>
    <m/>
    <m/>
    <m/>
  </r>
  <r>
    <n v="143"/>
    <s v="Cueva de Nerja"/>
    <s v="Gruta "/>
    <n v="36.761899999999997"/>
    <n v="-3.8418999999999999"/>
    <s v="12;13"/>
    <x v="2"/>
    <x v="1"/>
    <m/>
    <s v="silex, quartzo,quartzito, calcario"/>
    <s v="sim"/>
    <s v="sim"/>
    <s v="Schmidt et al. 2012; Vermeesch, 2020; Jorda e Aura tortosa, 2008; Aura tortosa et al. 2016; Aura tortosa et al, 2012"/>
    <m/>
    <m/>
    <m/>
    <m/>
    <m/>
    <m/>
  </r>
  <r>
    <n v="144"/>
    <s v="Cueva de Nerja"/>
    <s v="Gruta "/>
    <n v="36.761899999999997"/>
    <n v="-3.8418999999999999"/>
    <s v="Vestibule8i; Vestibule8K+L;NV9(C4VIII);Vestibule8c; M79/8"/>
    <x v="1"/>
    <x v="1"/>
    <m/>
    <s v="silex, quartzo,quartzito, calcario"/>
    <s v="sim"/>
    <s v="sim"/>
    <s v="Schmidt et al. 2012; Vermeesch, 2020; Jorda e Aura, 2008; Aura et al, 2006; Aura et al. 2012"/>
    <m/>
    <m/>
    <m/>
    <m/>
    <m/>
    <m/>
  </r>
  <r>
    <n v="145"/>
    <s v="Cueva de Tajo del jorox"/>
    <s v="Gruta "/>
    <n v="36.729999999999997"/>
    <n v="-4.8600000000000003"/>
    <s v="Superficie"/>
    <x v="1"/>
    <x v="0"/>
    <s v="N/A"/>
    <s v="silex"/>
    <s v="sim"/>
    <s v="sim"/>
    <s v="Schmidt et al. 2012; Vermeesch, 2020; Marques e Ruiz, 1975"/>
    <m/>
    <m/>
    <m/>
    <m/>
    <m/>
    <m/>
  </r>
  <r>
    <n v="146"/>
    <s v="Cueva del Higueral- Guardia de Motillas"/>
    <s v="Gruta "/>
    <n v="36.549999999999997"/>
    <n v="-5.59"/>
    <s v="Nivel 7A e 7B"/>
    <x v="0"/>
    <x v="1"/>
    <m/>
    <s v="quartzito"/>
    <s v="nao"/>
    <s v="sim"/>
    <s v="Schmidt et al. 2012; Pacheco e Lopez, 2017"/>
    <m/>
    <m/>
    <m/>
    <m/>
    <m/>
    <m/>
  </r>
  <r>
    <n v="147"/>
    <s v="Cueva del Higueral - Guardia de Motillas"/>
    <s v="Gruta "/>
    <n v="36.549999999999997"/>
    <n v="-5.59"/>
    <s v="Nivel 4"/>
    <x v="1"/>
    <x v="1"/>
    <m/>
    <s v="quartzito, silex"/>
    <s v="sim"/>
    <s v="sim"/>
    <s v="Schmidt et al. 2012; Pacheco e Lopez, 2017"/>
    <m/>
    <m/>
    <m/>
    <m/>
    <m/>
    <m/>
  </r>
  <r>
    <n v="148"/>
    <s v="Cueva del Parpallo"/>
    <s v="Gruta "/>
    <n v="39.001922999999998"/>
    <n v="-0.25664100000000001"/>
    <s v="Nivel III"/>
    <x v="2"/>
    <x v="1"/>
    <m/>
    <s v="silex"/>
    <s v="sim"/>
    <s v="sim"/>
    <s v="Schmidt et al. 2012;Vermeesch, 2020; Cascalheira,2013"/>
    <m/>
    <m/>
    <m/>
    <m/>
    <m/>
    <m/>
  </r>
  <r>
    <n v="149"/>
    <s v="Cueva del Parpallo"/>
    <s v="Gruta "/>
    <n v="39.004100000000001"/>
    <n v="-0.25664100000000001"/>
    <s v="Nivel I e II"/>
    <x v="1"/>
    <x v="1"/>
    <m/>
    <s v="silex"/>
    <s v="sim"/>
    <s v="sim"/>
    <s v="Schmidt et al. 2012; Vermeesch, 2020;Cascalheira, 2013"/>
    <m/>
    <m/>
    <m/>
    <m/>
    <m/>
    <m/>
  </r>
  <r>
    <n v="150"/>
    <s v="Cueva del Serron -La Palica"/>
    <s v="Gruta "/>
    <n v="37.249814000000001"/>
    <n v="-1.920096"/>
    <s v="Nivel superior"/>
    <x v="2"/>
    <x v="0"/>
    <s v="N/A"/>
    <s v="silex, quartzo, quartzito"/>
    <s v="sim"/>
    <s v="sim"/>
    <s v="Schmidt et al. 2012; Cacho, 1981"/>
    <m/>
    <m/>
    <m/>
    <m/>
    <m/>
    <m/>
  </r>
  <r>
    <n v="151"/>
    <s v="Cueva del Serron -La Palica"/>
    <s v="Gruta "/>
    <n v="37.249814000000001"/>
    <n v="-1.920096"/>
    <s v="Nivel superior"/>
    <x v="1"/>
    <x v="0"/>
    <s v="N/A"/>
    <s v="silex, quartzo, quartizto"/>
    <s v="sim"/>
    <s v="sim"/>
    <s v="Schmidt et al. 2012; Cacho, 1981"/>
    <m/>
    <m/>
    <m/>
    <m/>
    <m/>
    <m/>
  </r>
  <r>
    <n v="152"/>
    <s v="Cueva Hora"/>
    <s v="Gruta "/>
    <n v="37.768790000000003"/>
    <n v="-3.3"/>
    <s v="Nivel I e II"/>
    <x v="0"/>
    <x v="0"/>
    <s v="N/A"/>
    <s v="silex, calcedonia, quartzo"/>
    <s v="sim"/>
    <s v="sim"/>
    <s v="Schmidt et al. 2012; Vermeesch, 2020;Uriarte, 2002"/>
    <m/>
    <m/>
    <m/>
    <m/>
    <m/>
    <m/>
  </r>
  <r>
    <n v="153"/>
    <s v="Cueva de la Pileta"/>
    <s v="Gruta "/>
    <n v="36.694302"/>
    <s v="´ -5,287420"/>
    <s v="7.30 - 8m"/>
    <x v="0"/>
    <x v="0"/>
    <s v="N/A"/>
    <s v="quartzito, silex, arenito"/>
    <s v="sim"/>
    <s v="sim"/>
    <s v="Schmidt et al. 2012; Cortes Sanchez e Simon-Vallejo, 2007"/>
    <m/>
    <m/>
    <m/>
    <m/>
    <m/>
    <m/>
  </r>
  <r>
    <n v="154"/>
    <s v="Cueva de la Pileta"/>
    <s v="Gruta "/>
    <n v="36.694302"/>
    <s v="´ -5,287420"/>
    <s v="7.30"/>
    <x v="2"/>
    <x v="0"/>
    <s v="N/A"/>
    <s v="qaurtzito, silex"/>
    <s v="sim"/>
    <s v="sim"/>
    <s v="Schmidt et al. 2012; Cortes Sanchez e Simon-Vallejo, 2007"/>
    <m/>
    <m/>
    <m/>
    <m/>
    <m/>
    <m/>
  </r>
  <r>
    <n v="155"/>
    <s v="Cueva de la Pileta"/>
    <s v="Gruta "/>
    <n v="36.694302"/>
    <s v="´ -5,287420"/>
    <s v="D-E; 7 - 7.30m"/>
    <x v="1"/>
    <x v="1"/>
    <m/>
    <s v="quartzito, silex"/>
    <s v="sim"/>
    <s v="sim"/>
    <s v="Schmidt et al. 2012; Cortes Sanchez e Simon-Vallejo, 2007"/>
    <m/>
    <m/>
    <m/>
    <m/>
    <m/>
    <m/>
  </r>
  <r>
    <n v="156"/>
    <s v="Cueva Perneras"/>
    <s v="Abrigo"/>
    <n v="37.534999999999997"/>
    <n v="-1.42"/>
    <s v="VI-VIII"/>
    <x v="0"/>
    <x v="1"/>
    <m/>
    <s v="silex, quartzo"/>
    <s v="sim"/>
    <s v="sim"/>
    <s v="Schmidt et al. 2012; Vermeesch. 2020; Bernardez, 1980; Zilhao e Villaverde, 2008"/>
    <m/>
    <m/>
    <m/>
    <m/>
    <m/>
    <m/>
  </r>
  <r>
    <n v="157"/>
    <s v="Cueva Perneras"/>
    <s v="Abrigo"/>
    <n v="37.534999999999997"/>
    <n v="-1.42"/>
    <s v="V"/>
    <x v="3"/>
    <x v="1"/>
    <m/>
    <s v="silex, quartzo"/>
    <s v="sim"/>
    <s v="sim"/>
    <s v="Schmidt et al. 2012; Vermeesch, 2020; Bernardez, 1980; Zilhao e Villaverde, 2008"/>
    <m/>
    <m/>
    <m/>
    <m/>
    <m/>
    <m/>
  </r>
  <r>
    <n v="158"/>
    <s v=" Cueva de Levante"/>
    <s v="Gruta "/>
    <n v="36.340077999999998"/>
    <n v="5.81"/>
    <s v="I; IIa"/>
    <x v="1"/>
    <x v="0"/>
    <s v="N/A"/>
    <s v="silex, arenito"/>
    <s v="sim"/>
    <s v="sim"/>
    <s v="Schmidt et al. 2012;Lopez et al. 1998"/>
    <s v="fauna pouco abundante"/>
    <m/>
    <m/>
    <m/>
    <m/>
    <m/>
  </r>
  <r>
    <n v="159"/>
    <s v="El Bajondillo"/>
    <s v="Gruta "/>
    <n v="36.621000000000002"/>
    <n v="-4.4999000000000002"/>
    <s v="Bj/14"/>
    <x v="0"/>
    <x v="0"/>
    <s v="N/A"/>
    <s v="silex, quartzito, quartzo"/>
    <s v="sim"/>
    <s v="sim"/>
    <s v="Schmidt et al. 2012; Cortes-Sanchez et al. 2011; Zilhao, 2006; Cortes-sanchez e Vallejo, 2002"/>
    <m/>
    <m/>
    <m/>
    <m/>
    <m/>
    <m/>
  </r>
  <r>
    <n v="160"/>
    <s v="El Bajondillo"/>
    <s v="Gruta "/>
    <n v="36.621000000000002"/>
    <n v="-4.4999000000000002"/>
    <s v=" Bj/11"/>
    <x v="3"/>
    <x v="1"/>
    <m/>
    <s v="silex, quartzito, quartzo"/>
    <s v="sim"/>
    <s v="sim"/>
    <s v="Schmidt et al. 2012; Cortés-Sánchez et al. 2011; Zilhao, 2006; Cortes-Sanchez e Vallejo, 2002"/>
    <m/>
    <m/>
    <m/>
    <m/>
    <m/>
    <m/>
  </r>
  <r>
    <n v="161"/>
    <s v="El Bajondillo"/>
    <s v="Gruta "/>
    <n v="36.621000000000002"/>
    <n v="-4.4999000000000002"/>
    <s v=" Bj/10"/>
    <x v="2"/>
    <x v="1"/>
    <m/>
    <s v="silex, quartzito, quartzo"/>
    <s v="sim"/>
    <s v="sim"/>
    <s v="Schmidt et al. 2012; Cortés-Sánchez et al. 2011; Zilhao, 2006"/>
    <m/>
    <m/>
    <m/>
    <m/>
    <m/>
    <m/>
  </r>
  <r>
    <n v="162"/>
    <s v="El Bajondillo"/>
    <s v="Gruta "/>
    <n v="36.621000000000002"/>
    <n v="-4.4999000000000002"/>
    <s v="Bj/9 - Bj/6"/>
    <x v="1"/>
    <x v="1"/>
    <m/>
    <s v="silex, quartzito, quartzo"/>
    <s v="sim"/>
    <s v="sim"/>
    <s v="Schmidt et al. 2012; Cortés-Sánchez et al. 2011; Zilhao, 2006"/>
    <m/>
    <m/>
    <m/>
    <m/>
    <m/>
    <m/>
  </r>
  <r>
    <n v="163"/>
    <s v="El Palomar"/>
    <s v="Abrigo"/>
    <n v="38.397500000000001"/>
    <n v="-2.2458999999999998"/>
    <s v="XIII-VI"/>
    <x v="0"/>
    <x v="0"/>
    <s v="N/A"/>
    <s v="quartzito"/>
    <s v="nao"/>
    <s v="sim"/>
    <s v="Martinez, 2020; Vermeesch, 2020"/>
    <m/>
    <m/>
    <m/>
    <m/>
    <m/>
    <m/>
  </r>
  <r>
    <n v="164"/>
    <s v="El Palomar"/>
    <s v="Abrigo"/>
    <n v="38.397500000000001"/>
    <n v="-2.2458999999999998"/>
    <s v=" IV-III"/>
    <x v="2"/>
    <x v="1"/>
    <m/>
    <s v="quartzito, calcario,silex"/>
    <s v="sim"/>
    <s v="sim"/>
    <s v="Schmidt et al. 2012; Vermeesch, 2020; Martinez, 2020"/>
    <m/>
    <m/>
    <m/>
    <m/>
    <m/>
    <m/>
  </r>
  <r>
    <n v="165"/>
    <s v="El Palomar"/>
    <s v="Abrigo"/>
    <n v="38.397500000000001"/>
    <n v="-2.2458999999999998"/>
    <s v="II-I"/>
    <x v="1"/>
    <x v="0"/>
    <s v="N/A"/>
    <s v="silex"/>
    <s v="sim"/>
    <s v="sim"/>
    <s v="Schmidt et al. 2012; Vermeesch, 2020; Martinez, 2020"/>
    <m/>
    <m/>
    <m/>
    <m/>
    <m/>
    <m/>
  </r>
  <r>
    <n v="166"/>
    <s v=" El Pirulejo"/>
    <s v="Gruta "/>
    <n v="37.434199999999997"/>
    <n v="-4.1837999999999997"/>
    <s v="(P4); P5"/>
    <x v="1"/>
    <x v="1"/>
    <m/>
    <s v="silex, calcedonia"/>
    <s v="sim"/>
    <s v="sim"/>
    <s v="Schmidt et al. 2012; Vermeesch, 2020; Cortez Sanchez et al. 2019; Evora, 2015;Cortez Sánchez et al. 2017;Cortez Sánchez et al. 2008"/>
    <m/>
    <m/>
    <m/>
    <m/>
    <m/>
    <m/>
  </r>
  <r>
    <n v="167"/>
    <s v="Finca Dona Martina"/>
    <s v="Abrigo"/>
    <n v="38.078600000000002"/>
    <n v="-1.4912000000000001"/>
    <s v=" 1-5"/>
    <x v="2"/>
    <x v="0"/>
    <s v="N/A"/>
    <s v="silex"/>
    <s v="sim"/>
    <s v="nao"/>
    <s v="Schmidt et al. 2012; Cascalheira e Bicho, 2015; Zilhao et al. 2010"/>
    <m/>
    <m/>
    <m/>
    <m/>
    <m/>
    <m/>
  </r>
  <r>
    <n v="168"/>
    <s v="Finca Dona Martina"/>
    <s v="Abrigo"/>
    <n v="38.078600000000002"/>
    <n v="-1.4912000000000001"/>
    <s v="4;5"/>
    <x v="1"/>
    <x v="1"/>
    <m/>
    <s v="silex"/>
    <s v="sim"/>
    <s v="nao"/>
    <s v="Schmidt et al. 2012; Cascalheira e Bicho, 2015; Zilhao et al. 2010"/>
    <m/>
    <m/>
    <m/>
    <m/>
    <m/>
    <m/>
  </r>
  <r>
    <n v="169"/>
    <s v="Gorham Cave"/>
    <s v="Gruta "/>
    <n v="36.120399999999997"/>
    <n v="-5.3421000000000003"/>
    <s v="IV, CON 16, CON 18, CON19, CON 22, CON 22d, trench 7"/>
    <x v="0"/>
    <x v="1"/>
    <m/>
    <s v="silex, quartzito, quartzo, calcario"/>
    <s v="sim"/>
    <s v="sim"/>
    <s v="Schmidt et al. 2012; Zilhao, 2006; Finlayson et al. 2006;Finlayson et al. 2014; Rodriguez-Vidal et al. 2014"/>
    <s v="Presença de ossos humanos"/>
    <m/>
    <m/>
    <m/>
    <m/>
    <m/>
  </r>
  <r>
    <n v="170"/>
    <s v="Gorham Cave"/>
    <s v="Gruta "/>
    <n v="36.120399999999997"/>
    <n v="-5.3421000000000003"/>
    <s v=" IV(CON9) , CON 11, CON 13a"/>
    <x v="3"/>
    <x v="1"/>
    <m/>
    <s v="N/A"/>
    <s v="N/A"/>
    <s v="sim"/>
    <s v="Schmidt et al. 2012; Zilhao, 2006; Finlayson et al. 2006;Rodriguez-Vidal et al. 2014"/>
    <s v="Sem utensilios liticos arinhacenses"/>
    <m/>
    <m/>
    <m/>
    <m/>
    <m/>
  </r>
  <r>
    <n v="171"/>
    <s v="Gorham Cave"/>
    <s v="Gruta "/>
    <n v="36.120399999999997"/>
    <n v="-5.3421000000000003"/>
    <s v="III"/>
    <x v="2"/>
    <x v="0"/>
    <s v="N/A"/>
    <s v="N/A"/>
    <s v="N/A"/>
    <s v="sim"/>
    <s v="Schmidt et al. 2012; Zilhao, 2006; Finlayson et al. 2006;Rodriguez-Vidal et al. 2014"/>
    <s v="Sem utensilios liticos gravetenses"/>
    <m/>
    <m/>
    <m/>
    <m/>
    <m/>
  </r>
  <r>
    <n v="172"/>
    <s v="Gorham Cave"/>
    <s v="Gruta "/>
    <n v="36.120399999999997"/>
    <n v="-5.3421000000000003"/>
    <s v="IIIb"/>
    <x v="1"/>
    <x v="1"/>
    <m/>
    <s v="silex"/>
    <s v="sim"/>
    <s v="sim"/>
    <s v="Schmidt et al. 2012; Zilhao, 2006; Finlayson et al. 2006;Rodriguez-Vidal et al. 2014"/>
    <m/>
    <m/>
    <m/>
    <m/>
    <m/>
    <m/>
  </r>
  <r>
    <n v="173"/>
    <s v="Higueral de Sierra Valleja"/>
    <s v="Gruta "/>
    <n v="36.67577"/>
    <n v="-5.7804460000000004"/>
    <s v=" V; VI; VIII; IX;X"/>
    <x v="0"/>
    <x v="1"/>
    <m/>
    <s v="silex"/>
    <s v="sim"/>
    <s v="sim"/>
    <s v="Schmidt et al. 2012; Vermeesch, 2020; Jennings et al. 2009"/>
    <m/>
    <m/>
    <m/>
    <m/>
    <m/>
    <m/>
  </r>
  <r>
    <n v="174"/>
    <s v="Higueral de Sierra Valleja"/>
    <s v="Gruta "/>
    <n v="36.67577"/>
    <n v="-5.7804460000000004"/>
    <s v="IV"/>
    <x v="2"/>
    <x v="1"/>
    <m/>
    <s v="silex"/>
    <s v="sim"/>
    <s v="sim"/>
    <s v="Schmidt et al. 2012; Vermeesch, 2020; Jennings et al. 2009"/>
    <m/>
    <m/>
    <m/>
    <m/>
    <m/>
    <m/>
  </r>
  <r>
    <n v="175"/>
    <s v="Higueral de Sierra Valleja"/>
    <s v="Gruta "/>
    <n v="36.67577"/>
    <n v="-5.7804460000000004"/>
    <s v="III"/>
    <x v="1"/>
    <x v="0"/>
    <s v="N/A"/>
    <s v="silex"/>
    <s v="sim"/>
    <s v="sim"/>
    <s v="canessa, 2021; Vermeesch, 2020; Jennings et al. 2009"/>
    <m/>
    <m/>
    <m/>
    <m/>
    <m/>
    <m/>
  </r>
  <r>
    <n v="176"/>
    <s v="La Fontanilla"/>
    <s v="Ar livre"/>
    <n v="36.278215000000003"/>
    <n v="-6.0927680000000004"/>
    <m/>
    <x v="1"/>
    <x v="0"/>
    <s v="N/A"/>
    <s v="silex"/>
    <s v="sim"/>
    <s v="nao"/>
    <s v="canessa, 2021; Vermeesch, 2020; Perez Ramos et al. 2012"/>
    <m/>
    <m/>
    <m/>
    <m/>
    <m/>
    <m/>
  </r>
  <r>
    <n v="177"/>
    <s v="La Boja"/>
    <s v="Abrigo"/>
    <n v="38.078600000000002"/>
    <n v="-1.4897"/>
    <s v="Nivel A-C; Cbase/D"/>
    <x v="2"/>
    <x v="1"/>
    <m/>
    <s v="silex, quartzito, quartzo"/>
    <s v="sim"/>
    <s v="sim"/>
    <s v="Cascalheira e Bicho, 2015; Vermeesch, 2020; Zilhao et al. 2010"/>
    <s v="Funa existente é malacofauna"/>
    <m/>
    <m/>
    <m/>
    <m/>
    <m/>
  </r>
  <r>
    <n v="178"/>
    <s v="La Boja"/>
    <s v="Abrigo"/>
    <n v="38.078600000000002"/>
    <n v="-1.4897"/>
    <s v="SW18B2; SW18B1; Nivel A-C; Cbase/D"/>
    <x v="1"/>
    <x v="1"/>
    <m/>
    <s v="silex, quartzito, quartzo, calcedonia"/>
    <s v="sim"/>
    <s v="sim"/>
    <s v="Cascalheira e Bicho, 2015; Vermeesch, 2020; Zilhao et al. 2010"/>
    <s v="Fauna existente é malacofauna"/>
    <m/>
    <m/>
    <m/>
    <m/>
    <m/>
  </r>
  <r>
    <n v="180"/>
    <s v="Las Palomas "/>
    <s v="Gruta "/>
    <n v="37.78"/>
    <n v="-0.91"/>
    <s v="Superficie"/>
    <x v="2"/>
    <x v="0"/>
    <s v="N/A"/>
    <s v="silex"/>
    <s v="sim"/>
    <s v="sim"/>
    <s v="Schmidt et al. 2012; Vermeesch, 2020; Medianero et al.2011"/>
    <m/>
    <m/>
    <m/>
    <m/>
    <m/>
    <m/>
  </r>
  <r>
    <n v="181"/>
    <s v="Las Ventanas"/>
    <s v="Gruta "/>
    <n v="37.441699999999997"/>
    <n v="-3.4283000000000001"/>
    <m/>
    <x v="0"/>
    <x v="0"/>
    <s v="N/A"/>
    <s v="silex"/>
    <s v="sim"/>
    <s v="sim"/>
    <s v="Canessa, 2021; Vermeesch, 2020"/>
    <m/>
    <m/>
    <m/>
    <m/>
    <m/>
    <m/>
  </r>
  <r>
    <n v="182"/>
    <s v="Las Ventanas"/>
    <s v="Gruta "/>
    <n v="37.441699999999997"/>
    <n v="-3.4283000000000001"/>
    <m/>
    <x v="1"/>
    <x v="0"/>
    <s v="N/A"/>
    <s v="silex"/>
    <s v="sim"/>
    <s v="sim"/>
    <s v="Canessa, 2021; Vermeesch, 2020"/>
    <m/>
    <m/>
    <m/>
    <m/>
    <m/>
    <m/>
  </r>
  <r>
    <n v="183"/>
    <s v="Pantano de Cubillas"/>
    <s v="Ar livre"/>
    <n v="37.2883"/>
    <n v="-3.6625000000000001"/>
    <s v="X-XI"/>
    <x v="1"/>
    <x v="0"/>
    <s v="N/A"/>
    <s v="silex"/>
    <s v="sim"/>
    <s v="sim"/>
    <s v="Canessa, 2021; Toro Moyano e Ramos Lizana, 1976"/>
    <m/>
    <m/>
    <m/>
    <m/>
    <m/>
    <m/>
  </r>
  <r>
    <n v="184"/>
    <s v="Pena  de la Grieta"/>
    <s v="Abrigo"/>
    <n v="37.866700000000002"/>
    <n v="-4.1833"/>
    <s v="4;5"/>
    <x v="1"/>
    <x v="0"/>
    <s v="N/A"/>
    <s v="silex"/>
    <s v="sim"/>
    <s v="sim"/>
    <s v="Schmidt et al. 2012; Vermeesch, 2020; Cascalheira e Bicho, 2015; Canessa, 2021; Banks et al.2009;Lopez Reyes et al. 2008"/>
    <m/>
    <m/>
    <m/>
    <m/>
    <m/>
    <m/>
  </r>
  <r>
    <n v="185"/>
    <s v="Rates Penaes"/>
    <s v="Ar livre"/>
    <n v="38.93"/>
    <n v="-0.26"/>
    <s v="Sector Oeste"/>
    <x v="1"/>
    <x v="0"/>
    <s v="N/A"/>
    <s v="silex"/>
    <s v="nao"/>
    <s v="nao"/>
    <s v="Schmidt et al. 2012;Bonilla, 197; Bonilla e Sanchez, 1981"/>
    <m/>
    <m/>
    <m/>
    <m/>
    <m/>
    <m/>
  </r>
  <r>
    <n v="186"/>
    <s v="Ratlla del Bubo"/>
    <s v="Abrigo"/>
    <n v="38.255380000000002"/>
    <n v="-0.80683800000000006"/>
    <s v="I-IV"/>
    <x v="2"/>
    <x v="1"/>
    <m/>
    <s v="silex"/>
    <s v="sim"/>
    <s v="sim"/>
    <s v="Schmidt et al. 2012; Cascalheira e Bicho, 2015; Soler et al, 1990;Martínez-Alfaro et al. 2022"/>
    <m/>
    <m/>
    <m/>
    <m/>
    <m/>
    <m/>
  </r>
  <r>
    <n v="187"/>
    <s v="Ratlla del Bubo"/>
    <s v="Abrigo"/>
    <n v="38.255380000000002"/>
    <n v="-0.80683800000000006"/>
    <s v="I-II"/>
    <x v="1"/>
    <x v="1"/>
    <m/>
    <s v="sillex, quartzo"/>
    <s v="sim"/>
    <s v="sim"/>
    <s v="Schmidt et al. 2012; Cascalheira e Bicho, 2015; Soler et al, 1990;Martínez-Alfaro et al. 2022"/>
    <m/>
    <m/>
    <m/>
    <m/>
    <m/>
    <m/>
  </r>
  <r>
    <n v="188"/>
    <s v="Sima de Las Palomas del Cabezo Gordo"/>
    <s v="Abrigo"/>
    <n v="37.799700000000001"/>
    <n v="-0.89670000000000005"/>
    <s v="Layer 2e;2l"/>
    <x v="0"/>
    <x v="1"/>
    <m/>
    <s v="silex, quartzo"/>
    <s v="sim"/>
    <s v="sim"/>
    <s v="Schmidt et al. 2012; vermeersch. 2020; Zilhao, 2006; Walker et al. 2008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s v="Abrigo 1 de Vale Covoes"/>
    <s v="Moustierense"/>
    <x v="0"/>
    <x v="0"/>
  </r>
  <r>
    <s v="Abrigo 1 de Vale Covoes"/>
    <s v="Gravetense"/>
    <x v="0"/>
    <x v="0"/>
  </r>
  <r>
    <s v="Almonda"/>
    <s v="Solutrense"/>
    <x v="0"/>
    <x v="1"/>
  </r>
  <r>
    <s v="Azinhal"/>
    <s v="Moustierense"/>
    <x v="1"/>
    <x v="2"/>
  </r>
  <r>
    <s v="Arneiro Cortico"/>
    <s v="Moustierense"/>
    <x v="0"/>
    <x v="3"/>
  </r>
  <r>
    <s v="Baio"/>
    <s v="Solutrense"/>
    <x v="0"/>
    <x v="1"/>
  </r>
  <r>
    <s v="Buraca Escura"/>
    <s v="Gravetense"/>
    <x v="1"/>
    <x v="4"/>
  </r>
  <r>
    <s v="Buraca Escura"/>
    <s v="Moustierense"/>
    <x v="1"/>
    <x v="4"/>
  </r>
  <r>
    <s v="Buraca Grande"/>
    <s v="Moustierense"/>
    <x v="0"/>
    <x v="4"/>
  </r>
  <r>
    <s v="Buraca Grande"/>
    <s v="Gravetense"/>
    <x v="1"/>
    <x v="4"/>
  </r>
  <r>
    <s v="Buraca Grande"/>
    <s v="Solutrense"/>
    <x v="1"/>
    <x v="4"/>
  </r>
  <r>
    <s v="Casal do Cepo"/>
    <s v="Solutrense"/>
    <x v="0"/>
    <x v="1"/>
  </r>
  <r>
    <s v="Chainca"/>
    <s v="Aurinhacense"/>
    <x v="0"/>
    <x v="2"/>
  </r>
  <r>
    <s v="Cobrinhos"/>
    <s v="Moustierense"/>
    <x v="0"/>
    <x v="2"/>
  </r>
  <r>
    <s v="Chacafre II"/>
    <s v="Moustierense"/>
    <x v="0"/>
    <x v="1"/>
  </r>
  <r>
    <s v="Conceicao"/>
    <s v="Moustierense"/>
    <x v="1"/>
    <x v="5"/>
  </r>
  <r>
    <s v="CPM (Cabeco de Porto Marinho)"/>
    <s v="Gravetense"/>
    <x v="1"/>
    <x v="1"/>
  </r>
  <r>
    <s v="Cova da Moura"/>
    <s v="Gravetense"/>
    <x v="0"/>
    <x v="5"/>
  </r>
  <r>
    <s v="Curva do Belixe"/>
    <s v="Moustierense"/>
    <x v="0"/>
    <x v="1"/>
  </r>
  <r>
    <s v="Casal do Flipe"/>
    <s v="Gravetense"/>
    <x v="0"/>
    <x v="2"/>
  </r>
  <r>
    <s v="Estrada do Prado"/>
    <s v="Moustierense"/>
    <x v="0"/>
    <x v="1"/>
  </r>
  <r>
    <s v="Figueira Brava "/>
    <s v="Moustierense"/>
    <x v="1"/>
    <x v="5"/>
  </r>
  <r>
    <s v="Fonte Santa"/>
    <s v="Gravetense"/>
    <x v="1"/>
    <x v="1"/>
  </r>
  <r>
    <s v="Foz do Enxarrique"/>
    <s v="Moustierense"/>
    <x v="1"/>
    <x v="1"/>
  </r>
  <r>
    <s v="Furninha"/>
    <s v="Moustierense"/>
    <x v="0"/>
    <x v="5"/>
  </r>
  <r>
    <s v="Furninha"/>
    <s v="Gravetense"/>
    <x v="0"/>
    <x v="5"/>
  </r>
  <r>
    <s v="Furninha"/>
    <s v="Solutrense"/>
    <x v="0"/>
    <x v="5"/>
  </r>
  <r>
    <s v="Galerias Pesadas"/>
    <s v="Moustierense"/>
    <x v="1"/>
    <x v="2"/>
  </r>
  <r>
    <s v="Gato Preto"/>
    <s v="Gravetense"/>
    <x v="1"/>
    <x v="1"/>
  </r>
  <r>
    <s v="Gasparoes"/>
    <s v="Moustierense"/>
    <x v="1"/>
    <x v="1"/>
  </r>
  <r>
    <s v=" Gruta da Casa da Moura"/>
    <s v="Gravetense"/>
    <x v="1"/>
    <x v="6"/>
  </r>
  <r>
    <s v="Gruta da Companheira"/>
    <s v="Moustierense"/>
    <x v="0"/>
    <x v="5"/>
  </r>
  <r>
    <s v="Gruta da Oliveira"/>
    <s v="Moustierense"/>
    <x v="1"/>
    <x v="2"/>
  </r>
  <r>
    <s v="Gruta Nova da Columbeira"/>
    <s v="Moustierense"/>
    <x v="1"/>
    <x v="1"/>
  </r>
  <r>
    <s v="Gruta das Salemas"/>
    <s v="Moustierense"/>
    <x v="1"/>
    <x v="4"/>
  </r>
  <r>
    <s v="Gruta das Salemas"/>
    <s v="Aurinhacense"/>
    <x v="0"/>
    <x v="4"/>
  </r>
  <r>
    <s v="Gruta das Salemas"/>
    <s v="Gravetense"/>
    <x v="0"/>
    <x v="4"/>
  </r>
  <r>
    <s v="Gruta das Salemas"/>
    <s v="Solutrense"/>
    <x v="1"/>
    <x v="4"/>
  </r>
  <r>
    <s v="Gruta de Ibn Ammar"/>
    <s v="Moustierense"/>
    <x v="0"/>
    <x v="5"/>
  </r>
  <r>
    <s v="Gruta do Caldeirao"/>
    <s v="Moustierense"/>
    <x v="1"/>
    <x v="2"/>
  </r>
  <r>
    <s v="Gruta do Caldeirao"/>
    <s v="Gravetense"/>
    <x v="1"/>
    <x v="2"/>
  </r>
  <r>
    <s v="Gruta do Caldeirao"/>
    <s v="Solutrense"/>
    <x v="1"/>
    <x v="2"/>
  </r>
  <r>
    <s v="Gruta do Correio Mor"/>
    <s v="Moustierense"/>
    <x v="0"/>
    <x v="1"/>
  </r>
  <r>
    <s v="Gruta do Correio Mor"/>
    <s v="Solutrense"/>
    <x v="0"/>
    <x v="1"/>
  </r>
  <r>
    <s v="Gruta do Escoural"/>
    <s v="Moustierense"/>
    <x v="1"/>
    <x v="7"/>
  </r>
  <r>
    <s v="Gruta do Escoural"/>
    <s v="Solutrense"/>
    <x v="1"/>
    <x v="7"/>
  </r>
  <r>
    <s v="Gruta do Ourao"/>
    <s v="Solutrense"/>
    <x v="0"/>
    <x v="5"/>
  </r>
  <r>
    <s v="Grutas do Poco Velho"/>
    <s v="Solutrense"/>
    <x v="1"/>
    <x v="5"/>
  </r>
  <r>
    <s v="Lagar velho"/>
    <s v="Gravetense"/>
    <x v="1"/>
    <x v="1"/>
  </r>
  <r>
    <s v="Lagar velho"/>
    <s v="Solutrense"/>
    <x v="1"/>
    <x v="1"/>
  </r>
  <r>
    <s v="Lagoa do Bando"/>
    <s v="Moustierense"/>
    <x v="0"/>
    <x v="8"/>
  </r>
  <r>
    <s v="Lagoa Funda 1 "/>
    <s v="Moustierense"/>
    <x v="0"/>
    <x v="2"/>
  </r>
  <r>
    <s v="Lagoa Funda 2"/>
    <s v="Moustierense"/>
    <x v="0"/>
    <x v="2"/>
  </r>
  <r>
    <s v="Lagoa do Bordoal"/>
    <s v="Moustierense"/>
    <x v="1"/>
    <x v="2"/>
  </r>
  <r>
    <s v="Lapa da Rainha"/>
    <s v="Solutrense"/>
    <x v="1"/>
    <x v="5"/>
  </r>
  <r>
    <s v="Lapa do Anecrial"/>
    <s v="Gravetense"/>
    <x v="1"/>
    <x v="9"/>
  </r>
  <r>
    <s v="Lapa do Anecrial"/>
    <s v="Solutrense"/>
    <x v="1"/>
    <x v="9"/>
  </r>
  <r>
    <s v="Lapa do Picareiro"/>
    <s v="Solutrense"/>
    <x v="1"/>
    <x v="10"/>
  </r>
  <r>
    <s v="Lapa do Suao"/>
    <s v="Solutrense"/>
    <x v="0"/>
    <x v="1"/>
  </r>
  <r>
    <s v="Lapa dos Furos"/>
    <s v="Moustierense"/>
    <x v="1"/>
    <x v="1"/>
  </r>
  <r>
    <s v="Mina do Paco"/>
    <s v="Moustierense"/>
    <x v="0"/>
    <x v="2"/>
  </r>
  <r>
    <s v="Mira Nascente"/>
    <s v="Moustierense"/>
    <x v="0"/>
    <x v="5"/>
  </r>
  <r>
    <s v="Moinhos 1"/>
    <s v="Moustierense"/>
    <x v="0"/>
    <x v="1"/>
  </r>
  <r>
    <s v="Moinhos 2"/>
    <s v="Moustierense"/>
    <x v="0"/>
    <x v="1"/>
  </r>
  <r>
    <s v="Monte Penedo 1"/>
    <s v="Moustierense"/>
    <x v="0"/>
    <x v="8"/>
  </r>
  <r>
    <s v="Monte da Fainha"/>
    <s v="Solutrense"/>
    <x v="0"/>
    <x v="7"/>
  </r>
  <r>
    <s v="Olival da Carneira"/>
    <s v="Solutrense"/>
    <x v="0"/>
    <x v="1"/>
  </r>
  <r>
    <s v="Passal"/>
    <s v="Solutrense"/>
    <x v="0"/>
    <x v="5"/>
  </r>
  <r>
    <s v="Pedrogao"/>
    <s v="Moustierense"/>
    <x v="0"/>
    <x v="5"/>
  </r>
  <r>
    <s v="Pego do Diabo"/>
    <s v="Moustierense"/>
    <x v="0"/>
    <x v="0"/>
  </r>
  <r>
    <s v="Pego do Diabo"/>
    <s v="Aurinhacense"/>
    <x v="1"/>
    <x v="0"/>
  </r>
  <r>
    <s v="Porto Meirinho"/>
    <s v="Moustierense"/>
    <x v="0"/>
    <x v="2"/>
  </r>
  <r>
    <s v="Praia da Gale"/>
    <s v="Moustierense"/>
    <x v="0"/>
    <x v="5"/>
  </r>
  <r>
    <s v="Praia Rei Cortico"/>
    <s v="Moustierense"/>
    <x v="1"/>
    <x v="5"/>
  </r>
  <r>
    <s v="Ribeira da Atalaia"/>
    <s v="Moustierense"/>
    <x v="1"/>
    <x v="5"/>
  </r>
  <r>
    <s v="Ribeira da Atalaia"/>
    <s v="Gravetense"/>
    <x v="1"/>
    <x v="5"/>
  </r>
  <r>
    <s v="Santa Cita"/>
    <s v="Moustierense"/>
    <x v="0"/>
    <x v="5"/>
  </r>
  <r>
    <s v="Santo Antao do Tojal"/>
    <s v="Moustierense"/>
    <x v="1"/>
    <x v="5"/>
  </r>
  <r>
    <s v="Sapateiros 2"/>
    <s v="Moustierense"/>
    <x v="0"/>
    <x v="2"/>
  </r>
  <r>
    <s v="Tapada do Montinho"/>
    <s v="Moustierense"/>
    <x v="0"/>
    <x v="8"/>
  </r>
  <r>
    <s v="Terra do Jose Pereira"/>
    <s v="Solutrense"/>
    <x v="0"/>
    <x v="2"/>
  </r>
  <r>
    <s v="Terra do Manuel "/>
    <s v="Gravetense"/>
    <x v="1"/>
    <x v="2"/>
  </r>
  <r>
    <s v="Terra do Manuel "/>
    <s v="Solutrense"/>
    <x v="1"/>
    <x v="2"/>
  </r>
  <r>
    <s v="Vale Boi"/>
    <s v="Gravetense"/>
    <x v="1"/>
    <x v="5"/>
  </r>
  <r>
    <s v="Vale Boi"/>
    <s v="Solutrense"/>
    <x v="1"/>
    <x v="5"/>
  </r>
  <r>
    <s v="Vale Comprido - Barraca"/>
    <s v="Gravetense"/>
    <x v="0"/>
    <x v="2"/>
  </r>
  <r>
    <s v="Vale Comprido - Cruzamento"/>
    <s v="Gravetense"/>
    <x v="1"/>
    <x v="2"/>
  </r>
  <r>
    <s v="Vale Comprido - Encosta"/>
    <s v="Solutrense"/>
    <x v="0"/>
    <x v="2"/>
  </r>
  <r>
    <s v="Vale da Almoinha"/>
    <s v="Solutrense"/>
    <x v="1"/>
    <x v="5"/>
  </r>
  <r>
    <s v="Vale das Buracas"/>
    <s v="Gravetense"/>
    <x v="0"/>
    <x v="0"/>
  </r>
  <r>
    <s v="Vale das Buracas"/>
    <s v="Solutrense"/>
    <x v="0"/>
    <x v="0"/>
  </r>
  <r>
    <s v="Vale dos Porcos I"/>
    <s v="Aurinhacense"/>
    <x v="0"/>
    <x v="1"/>
  </r>
  <r>
    <s v="Vale dos Porcos I"/>
    <s v="Gravetense"/>
    <x v="0"/>
    <x v="1"/>
  </r>
  <r>
    <s v="Vale dos Porcos II"/>
    <s v="Aurinhacense"/>
    <x v="0"/>
    <x v="1"/>
  </r>
  <r>
    <s v="Vales da Senhora da Luz"/>
    <s v="Gravetense"/>
    <x v="0"/>
    <x v="2"/>
  </r>
  <r>
    <s v="Vascas"/>
    <s v="Aurinhacense"/>
    <x v="0"/>
    <x v="1"/>
  </r>
  <r>
    <s v="Vascas"/>
    <s v="Gravetense"/>
    <x v="0"/>
    <x v="1"/>
  </r>
  <r>
    <s v="Vilas ruivas"/>
    <s v="Moustierense"/>
    <x v="1"/>
    <x v="2"/>
  </r>
  <r>
    <s v="Vale da Porta"/>
    <s v="Moustierense"/>
    <x v="0"/>
    <x v="1"/>
  </r>
  <r>
    <s v="Vale do Forno 8"/>
    <s v="Moustierense"/>
    <x v="1"/>
    <x v="5"/>
  </r>
  <r>
    <s v="Vale Santo"/>
    <s v="Moustierense"/>
    <x v="0"/>
    <x v="1"/>
  </r>
  <r>
    <s v="Abrigo del Capurri"/>
    <s v="Solutrense"/>
    <x v="0"/>
    <x v="9"/>
  </r>
  <r>
    <s v="Bolomor"/>
    <s v="Moustierense"/>
    <x v="1"/>
    <x v="6"/>
  </r>
  <r>
    <s v="Cochino"/>
    <s v="Moustierense"/>
    <x v="0"/>
    <x v="11"/>
  </r>
  <r>
    <s v="Complejo del Humo - Abrigo 4"/>
    <s v="Moustierense"/>
    <x v="0"/>
    <x v="5"/>
  </r>
  <r>
    <s v="Cova Ampla del Cap Gros"/>
    <s v="Solutrense"/>
    <x v="0"/>
    <x v="12"/>
  </r>
  <r>
    <s v="Cova de les Cendres"/>
    <s v="Gravetense"/>
    <x v="1"/>
    <x v="12"/>
  </r>
  <r>
    <s v="Cova de les Cendres"/>
    <s v="Solutrense"/>
    <x v="1"/>
    <x v="12"/>
  </r>
  <r>
    <s v="Cova Foradada (ou Forada)"/>
    <s v="Aurinhacense"/>
    <x v="1"/>
    <x v="12"/>
  </r>
  <r>
    <s v="Cova Foradada (ou Forada)"/>
    <s v="Moustierense"/>
    <x v="1"/>
    <x v="12"/>
  </r>
  <r>
    <s v="Cova del Llop"/>
    <s v="Solutrense"/>
    <x v="0"/>
    <x v="2"/>
  </r>
  <r>
    <s v="Cova de les Maravelles"/>
    <s v="Solutrense"/>
    <x v="1"/>
    <x v="6"/>
  </r>
  <r>
    <s v="Cova del Moro"/>
    <s v="Solutrense"/>
    <x v="1"/>
    <x v="13"/>
  </r>
  <r>
    <s v="Cova Negra"/>
    <s v="Moustierense"/>
    <x v="0"/>
    <x v="0"/>
  </r>
  <r>
    <s v="Cova Negra"/>
    <s v="Aurinhacense"/>
    <x v="0"/>
    <x v="0"/>
  </r>
  <r>
    <s v="Cova Vermelha"/>
    <s v="Solutrense"/>
    <x v="0"/>
    <x v="7"/>
  </r>
  <r>
    <s v="Cova dels Porcs"/>
    <s v="Solutrense"/>
    <x v="0"/>
    <x v="1"/>
  </r>
  <r>
    <s v="Cova Perneras"/>
    <s v="Aurinhacense"/>
    <x v="0"/>
    <x v="1"/>
  </r>
  <r>
    <s v="Cova Perneras "/>
    <s v="Moustierense"/>
    <x v="0"/>
    <x v="1"/>
  </r>
  <r>
    <s v="Cueva Anton"/>
    <s v="Moustierense"/>
    <x v="1"/>
    <x v="7"/>
  </r>
  <r>
    <s v="Cueva Ambrosio"/>
    <s v="Solutrense"/>
    <x v="1"/>
    <x v="14"/>
  </r>
  <r>
    <s v="Cueva Beneito"/>
    <s v="Moustierense"/>
    <x v="1"/>
    <x v="15"/>
  </r>
  <r>
    <s v="Cueva Beneito"/>
    <s v="Aurinhacense"/>
    <x v="1"/>
    <x v="15"/>
  </r>
  <r>
    <s v="Cueva Beneito"/>
    <s v="Gravetense"/>
    <x v="0"/>
    <x v="15"/>
  </r>
  <r>
    <s v="Cueva Beneito"/>
    <s v="Solutrense"/>
    <x v="1"/>
    <x v="15"/>
  </r>
  <r>
    <s v="Cueva Boquete de Zafarraya"/>
    <s v="Moustierense"/>
    <x v="1"/>
    <x v="14"/>
  </r>
  <r>
    <s v="Cueva Boquete de Zafarraya"/>
    <s v="Aurinhacense"/>
    <x v="0"/>
    <x v="14"/>
  </r>
  <r>
    <s v="Cueva Boquete de Zafarraya"/>
    <s v="Gravetense"/>
    <x v="0"/>
    <x v="14"/>
  </r>
  <r>
    <s v="Cueva Boquete de Zafarraya"/>
    <s v="Solutrense"/>
    <x v="1"/>
    <x v="14"/>
  </r>
  <r>
    <s v="Cueva de Barranc Blanc"/>
    <s v="Gravetense"/>
    <x v="1"/>
    <x v="2"/>
  </r>
  <r>
    <s v="Cueva de Barranc Blanc"/>
    <s v="Solutrense"/>
    <x v="1"/>
    <x v="2"/>
  </r>
  <r>
    <s v="Cueva de Cejo del Pantano"/>
    <s v="Solutrense"/>
    <x v="0"/>
    <x v="9"/>
  </r>
  <r>
    <s v="Cueva de la Cariguela"/>
    <s v="Moustierense"/>
    <x v="1"/>
    <x v="14"/>
  </r>
  <r>
    <s v="Cueva de les Mallaetes"/>
    <s v="Aurinhacense"/>
    <x v="1"/>
    <x v="16"/>
  </r>
  <r>
    <s v="Cueva de les Mallaetes"/>
    <s v="Gravetense"/>
    <x v="1"/>
    <x v="16"/>
  </r>
  <r>
    <s v="Cueva de les Mallaetes"/>
    <s v="Solutrense"/>
    <x v="1"/>
    <x v="16"/>
  </r>
  <r>
    <s v="Cueva de los Aviones"/>
    <s v="Moustierense"/>
    <x v="1"/>
    <x v="14"/>
  </r>
  <r>
    <s v="Cueva de los Morceguillos"/>
    <s v="Gravetense"/>
    <x v="0"/>
    <x v="10"/>
  </r>
  <r>
    <s v="Cueva de los Morceguillos"/>
    <s v="Solutrense"/>
    <x v="0"/>
    <x v="10"/>
  </r>
  <r>
    <s v="Cueva de los Ojos"/>
    <s v="Solutrense"/>
    <x v="0"/>
    <x v="17"/>
  </r>
  <r>
    <s v="Cueva de Nerja"/>
    <s v="Gravetense"/>
    <x v="1"/>
    <x v="6"/>
  </r>
  <r>
    <s v="Cueva de Nerja"/>
    <s v="Solutrense"/>
    <x v="1"/>
    <x v="6"/>
  </r>
  <r>
    <s v="Cueva de Tajo del jorox"/>
    <s v="Solutrense"/>
    <x v="0"/>
    <x v="11"/>
  </r>
  <r>
    <s v="Cueva del Higueral- Guardia de Motillas"/>
    <s v="Moustierense"/>
    <x v="1"/>
    <x v="8"/>
  </r>
  <r>
    <s v="Cueva del Higueral - Guardia de Motillas"/>
    <s v="Solutrense"/>
    <x v="1"/>
    <x v="8"/>
  </r>
  <r>
    <s v="Cueva del Parpallo"/>
    <s v="Gravetense"/>
    <x v="1"/>
    <x v="10"/>
  </r>
  <r>
    <s v="Cueva del Parpallo"/>
    <s v="Solutrense"/>
    <x v="1"/>
    <x v="10"/>
  </r>
  <r>
    <s v="Cueva del Serron -La Palica"/>
    <s v="Gravetense"/>
    <x v="0"/>
    <x v="2"/>
  </r>
  <r>
    <s v="Cueva del Serron -La Palica"/>
    <s v="Solutrense"/>
    <x v="0"/>
    <x v="2"/>
  </r>
  <r>
    <s v="Cueva Hora"/>
    <s v="Moustierense"/>
    <x v="0"/>
    <x v="14"/>
  </r>
  <r>
    <s v="Cueva de la Pileta"/>
    <s v="Moustierense"/>
    <x v="0"/>
    <x v="14"/>
  </r>
  <r>
    <s v="Cueva de la Pileta"/>
    <s v="Gravetense"/>
    <x v="0"/>
    <x v="14"/>
  </r>
  <r>
    <s v="Cueva de la Pileta"/>
    <s v="Solutrense"/>
    <x v="1"/>
    <x v="14"/>
  </r>
  <r>
    <s v="Cueva Perneras"/>
    <s v="Moustierense"/>
    <x v="1"/>
    <x v="9"/>
  </r>
  <r>
    <s v="Cueva Perneras"/>
    <s v="Aurinhacense"/>
    <x v="1"/>
    <x v="9"/>
  </r>
  <r>
    <s v=" Cueva de Levante"/>
    <s v="Solutrense"/>
    <x v="0"/>
    <x v="5"/>
  </r>
  <r>
    <s v="El Bajondillo"/>
    <s v="Moustierense"/>
    <x v="0"/>
    <x v="5"/>
  </r>
  <r>
    <s v="El Bajondillo"/>
    <s v="Aurinhacense"/>
    <x v="1"/>
    <x v="5"/>
  </r>
  <r>
    <s v="El Bajondillo"/>
    <s v="Gravetense"/>
    <x v="1"/>
    <x v="5"/>
  </r>
  <r>
    <s v="El Bajondillo"/>
    <s v="Solutrense"/>
    <x v="1"/>
    <x v="5"/>
  </r>
  <r>
    <s v="El Palomar"/>
    <s v="Moustierense"/>
    <x v="0"/>
    <x v="11"/>
  </r>
  <r>
    <s v="El Palomar"/>
    <s v="Gravetense"/>
    <x v="1"/>
    <x v="11"/>
  </r>
  <r>
    <s v="El Palomar"/>
    <s v="Solutrense"/>
    <x v="0"/>
    <x v="11"/>
  </r>
  <r>
    <s v=" El Pirulejo"/>
    <s v="Solutrense"/>
    <x v="1"/>
    <x v="11"/>
  </r>
  <r>
    <s v="Finca Dona Martina"/>
    <s v="Gravetense"/>
    <x v="0"/>
    <x v="7"/>
  </r>
  <r>
    <s v="Finca Dona Martina"/>
    <s v="Solutrense"/>
    <x v="1"/>
    <x v="7"/>
  </r>
  <r>
    <s v="Gorham Cave"/>
    <s v="Moustierense"/>
    <x v="1"/>
    <x v="5"/>
  </r>
  <r>
    <s v="Gorham Cave"/>
    <s v="Aurinhacense"/>
    <x v="1"/>
    <x v="5"/>
  </r>
  <r>
    <s v="Gorham Cave"/>
    <s v="Gravetense"/>
    <x v="0"/>
    <x v="5"/>
  </r>
  <r>
    <s v="Gorham Cave"/>
    <s v="Solutrense"/>
    <x v="1"/>
    <x v="5"/>
  </r>
  <r>
    <s v="Higueral de Sierra Valleja"/>
    <s v="Moustierense"/>
    <x v="1"/>
    <x v="1"/>
  </r>
  <r>
    <s v="Higueral de Sierra Valleja"/>
    <s v="Gravetense"/>
    <x v="1"/>
    <x v="1"/>
  </r>
  <r>
    <s v="Higueral de Sierra Valleja"/>
    <s v="Solutrense"/>
    <x v="0"/>
    <x v="1"/>
  </r>
  <r>
    <s v="La Fontanilla"/>
    <s v="Solutrense"/>
    <x v="0"/>
    <x v="5"/>
  </r>
  <r>
    <s v="La Boja"/>
    <s v="Gravetense"/>
    <x v="1"/>
    <x v="7"/>
  </r>
  <r>
    <s v="La Boja"/>
    <s v="Solutrense"/>
    <x v="1"/>
    <x v="7"/>
  </r>
  <r>
    <s v="Las Palomas "/>
    <s v="Gravetense"/>
    <x v="0"/>
    <x v="5"/>
  </r>
  <r>
    <s v="Las Ventanas"/>
    <s v="Moustierense"/>
    <x v="0"/>
    <x v="14"/>
  </r>
  <r>
    <s v="Las Ventanas"/>
    <s v="Solutrense"/>
    <x v="0"/>
    <x v="14"/>
  </r>
  <r>
    <s v="Pantano de Cubillas"/>
    <s v="Solutrense"/>
    <x v="0"/>
    <x v="18"/>
  </r>
  <r>
    <s v="Pena  de la Grieta"/>
    <s v="Solutrense"/>
    <x v="0"/>
    <x v="12"/>
  </r>
  <r>
    <s v="Rates Penaes"/>
    <s v="Solutrense"/>
    <x v="0"/>
    <x v="1"/>
  </r>
  <r>
    <s v="Ratlla del Bubo"/>
    <s v="Gravetense"/>
    <x v="1"/>
    <x v="6"/>
  </r>
  <r>
    <s v="Ratlla del Bubo"/>
    <s v="Solutrense"/>
    <x v="1"/>
    <x v="6"/>
  </r>
  <r>
    <s v="Sima de Las Palomas del Cabezo Gordo"/>
    <s v="Moustierense"/>
    <x v="1"/>
    <x v="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s v="Abrigo 1 de Vale Covoes"/>
    <s v="Moustierense"/>
    <s v="não"/>
    <x v="0"/>
  </r>
  <r>
    <s v="Abrigo 1 de Vale Covoes"/>
    <s v="Gravetense"/>
    <s v="não"/>
    <x v="0"/>
  </r>
  <r>
    <s v="Almonda"/>
    <s v="Solutrense"/>
    <s v="não"/>
    <x v="1"/>
  </r>
  <r>
    <s v="Azinhal"/>
    <s v="Moustierense"/>
    <s v="sim"/>
    <x v="2"/>
  </r>
  <r>
    <s v="Arneiro Cortico"/>
    <s v="Moustierense"/>
    <s v="não"/>
    <x v="3"/>
  </r>
  <r>
    <s v="Baio"/>
    <s v="Solutrense"/>
    <s v="não"/>
    <x v="1"/>
  </r>
  <r>
    <s v="Buraca Escura"/>
    <s v="Gravetense"/>
    <s v="sim"/>
    <x v="4"/>
  </r>
  <r>
    <s v="Buraca Escura"/>
    <s v="Moustierense"/>
    <s v="sim"/>
    <x v="4"/>
  </r>
  <r>
    <s v="Buraca Grande"/>
    <s v="Moustierense"/>
    <s v="não"/>
    <x v="4"/>
  </r>
  <r>
    <s v="Buraca Grande"/>
    <s v="Gravetense"/>
    <s v="sim"/>
    <x v="4"/>
  </r>
  <r>
    <s v="Buraca Grande"/>
    <s v="Solutrense"/>
    <s v="sim"/>
    <x v="4"/>
  </r>
  <r>
    <s v="Casal do Cepo"/>
    <s v="Solutrense"/>
    <s v="não"/>
    <x v="1"/>
  </r>
  <r>
    <s v="Chainca"/>
    <s v="Aurinhacense"/>
    <s v="não"/>
    <x v="2"/>
  </r>
  <r>
    <s v="Cobrinhos"/>
    <s v="Moustierense"/>
    <s v="não"/>
    <x v="2"/>
  </r>
  <r>
    <s v="Chacafre II"/>
    <s v="Moustierense"/>
    <s v="não"/>
    <x v="1"/>
  </r>
  <r>
    <s v="Conceicao"/>
    <s v="Moustierense"/>
    <s v="sim"/>
    <x v="5"/>
  </r>
  <r>
    <s v="CPM (Cabeco de Porto Marinho)"/>
    <s v="Gravetense"/>
    <s v="sim"/>
    <x v="1"/>
  </r>
  <r>
    <s v="Cova da Moura"/>
    <s v="Gravetense"/>
    <s v="não"/>
    <x v="5"/>
  </r>
  <r>
    <s v="Curva do Belixe"/>
    <s v="Moustierense"/>
    <s v="não"/>
    <x v="1"/>
  </r>
  <r>
    <s v="Casal do Flipe"/>
    <s v="Gravetense"/>
    <s v="não"/>
    <x v="2"/>
  </r>
  <r>
    <s v="Estrada do Prado"/>
    <s v="Moustierense"/>
    <s v="não"/>
    <x v="1"/>
  </r>
  <r>
    <s v="Figueira Brava "/>
    <s v="Moustierense"/>
    <s v="sim"/>
    <x v="5"/>
  </r>
  <r>
    <s v="Fonte Santa"/>
    <s v="Gravetense"/>
    <s v="sim"/>
    <x v="1"/>
  </r>
  <r>
    <s v="Foz do Enxarrique"/>
    <s v="Moustierense"/>
    <s v="sim"/>
    <x v="1"/>
  </r>
  <r>
    <s v="Furninha"/>
    <s v="Moustierense"/>
    <s v="não"/>
    <x v="5"/>
  </r>
  <r>
    <s v="Furninha"/>
    <s v="Gravetense"/>
    <s v="não"/>
    <x v="5"/>
  </r>
  <r>
    <s v="Furninha"/>
    <s v="Solutrense"/>
    <s v="não"/>
    <x v="5"/>
  </r>
  <r>
    <s v="Galerias Pesadas"/>
    <s v="Moustierense"/>
    <s v="sim"/>
    <x v="2"/>
  </r>
  <r>
    <s v="Gato Preto"/>
    <s v="Gravetense"/>
    <s v="sim"/>
    <x v="1"/>
  </r>
  <r>
    <s v="Gasparoes"/>
    <s v="Moustierense"/>
    <s v="sim"/>
    <x v="1"/>
  </r>
  <r>
    <s v=" Gruta da Casa da Moura"/>
    <s v="Gravetense"/>
    <s v="sim"/>
    <x v="6"/>
  </r>
  <r>
    <s v="Gruta da Companheira"/>
    <s v="Moustierense"/>
    <s v="não"/>
    <x v="5"/>
  </r>
  <r>
    <s v="Gruta da Oliveira"/>
    <s v="Moustierense"/>
    <s v="sim"/>
    <x v="2"/>
  </r>
  <r>
    <s v="Gruta Nova da Columbeira"/>
    <s v="Moustierense"/>
    <s v="sim"/>
    <x v="1"/>
  </r>
  <r>
    <s v="Gruta das Salemas"/>
    <s v="Moustierense"/>
    <s v="sim"/>
    <x v="4"/>
  </r>
  <r>
    <s v="Gruta das Salemas"/>
    <s v="Aurinhacense"/>
    <s v="não"/>
    <x v="4"/>
  </r>
  <r>
    <s v="Gruta das Salemas"/>
    <s v="Gravetense"/>
    <s v="não"/>
    <x v="4"/>
  </r>
  <r>
    <s v="Gruta das Salemas"/>
    <s v="Solutrense"/>
    <s v="sim"/>
    <x v="4"/>
  </r>
  <r>
    <s v="Gruta de Ibn Ammar"/>
    <s v="Moustierense"/>
    <s v="não"/>
    <x v="5"/>
  </r>
  <r>
    <s v="Gruta do Caldeirao"/>
    <s v="Moustierense"/>
    <s v="sim"/>
    <x v="2"/>
  </r>
  <r>
    <s v="Gruta do Caldeirao"/>
    <s v="Gravetense"/>
    <s v="sim"/>
    <x v="2"/>
  </r>
  <r>
    <s v="Gruta do Caldeirao"/>
    <s v="Solutrense"/>
    <s v="sim"/>
    <x v="2"/>
  </r>
  <r>
    <s v="Gruta do Correio Mor"/>
    <s v="Moustierense"/>
    <s v="não"/>
    <x v="1"/>
  </r>
  <r>
    <s v="Gruta do Correio Mor"/>
    <s v="Solutrense"/>
    <s v="não"/>
    <x v="1"/>
  </r>
  <r>
    <s v="Gruta do Escoural"/>
    <s v="Moustierense"/>
    <s v="sim"/>
    <x v="7"/>
  </r>
  <r>
    <s v="Gruta do Escoural"/>
    <s v="Solutrense"/>
    <s v="sim"/>
    <x v="7"/>
  </r>
  <r>
    <s v="Gruta do Ourao"/>
    <s v="Solutrense"/>
    <s v="não"/>
    <x v="5"/>
  </r>
  <r>
    <s v="Grutas do Poco Velho"/>
    <s v="Solutrense"/>
    <s v="sim"/>
    <x v="5"/>
  </r>
  <r>
    <s v="Lagar velho"/>
    <s v="Gravetense"/>
    <s v="sim"/>
    <x v="1"/>
  </r>
  <r>
    <s v="Lagar velho"/>
    <s v="Solutrense"/>
    <s v="sim"/>
    <x v="1"/>
  </r>
  <r>
    <s v="Lagoa do Bando"/>
    <s v="Moustierense"/>
    <s v="não"/>
    <x v="8"/>
  </r>
  <r>
    <s v="Lagoa Funda 1 "/>
    <s v="Moustierense"/>
    <s v="não"/>
    <x v="2"/>
  </r>
  <r>
    <s v="Lagoa Funda 2"/>
    <s v="Moustierense"/>
    <s v="não"/>
    <x v="2"/>
  </r>
  <r>
    <s v="Lagoa do Bordoal"/>
    <s v="Moustierense"/>
    <s v="sim"/>
    <x v="2"/>
  </r>
  <r>
    <s v="Lapa da Rainha"/>
    <s v="Solutrense"/>
    <s v="sim"/>
    <x v="5"/>
  </r>
  <r>
    <s v="Lapa do Anecrial"/>
    <s v="Gravetense"/>
    <s v="sim"/>
    <x v="9"/>
  </r>
  <r>
    <s v="Lapa do Anecrial"/>
    <s v="Solutrense"/>
    <s v="sim"/>
    <x v="9"/>
  </r>
  <r>
    <s v="Lapa do Picareiro"/>
    <s v="Solutrense"/>
    <s v="sim"/>
    <x v="10"/>
  </r>
  <r>
    <s v="Lapa do Suao"/>
    <s v="Solutrense"/>
    <s v="não"/>
    <x v="1"/>
  </r>
  <r>
    <s v="Lapa dos Furos"/>
    <s v="Moustierense"/>
    <s v="sim"/>
    <x v="1"/>
  </r>
  <r>
    <s v="Mina do Paco"/>
    <s v="Moustierense"/>
    <s v="não"/>
    <x v="2"/>
  </r>
  <r>
    <s v="Mira Nascente"/>
    <s v="Moustierense"/>
    <s v="não"/>
    <x v="5"/>
  </r>
  <r>
    <s v="Moinhos 1"/>
    <s v="Moustierense"/>
    <s v="não"/>
    <x v="1"/>
  </r>
  <r>
    <s v="Moinhos 2"/>
    <s v="Moustierense"/>
    <s v="não"/>
    <x v="1"/>
  </r>
  <r>
    <s v="Monte Penedo 1"/>
    <s v="Moustierense"/>
    <s v="não"/>
    <x v="8"/>
  </r>
  <r>
    <s v="Monte da Fainha"/>
    <s v="Solutrense"/>
    <s v="não"/>
    <x v="7"/>
  </r>
  <r>
    <s v="Olival da Carneira"/>
    <s v="Solutrense"/>
    <s v="não"/>
    <x v="1"/>
  </r>
  <r>
    <s v="Passal"/>
    <s v="Solutrense"/>
    <s v="não"/>
    <x v="5"/>
  </r>
  <r>
    <s v="Pedrogao"/>
    <s v="Moustierense"/>
    <s v="não"/>
    <x v="5"/>
  </r>
  <r>
    <s v="Pego do Diabo"/>
    <s v="Moustierense"/>
    <s v="não"/>
    <x v="0"/>
  </r>
  <r>
    <s v="Pego do Diabo"/>
    <s v="Aurinhacense"/>
    <s v="sim"/>
    <x v="0"/>
  </r>
  <r>
    <s v="Porto Meirinho"/>
    <s v="Moustierense"/>
    <s v="não"/>
    <x v="2"/>
  </r>
  <r>
    <s v="Praia da Gale"/>
    <s v="Moustierense"/>
    <s v="não"/>
    <x v="5"/>
  </r>
  <r>
    <s v="Praia Rei Cortico"/>
    <s v="Moustierense"/>
    <s v="sim"/>
    <x v="5"/>
  </r>
  <r>
    <s v="Ribeira da Atalaia"/>
    <s v="Moustierense"/>
    <s v="sim"/>
    <x v="5"/>
  </r>
  <r>
    <s v="Ribeira da Atalaia"/>
    <s v="Gravetense"/>
    <s v="sim"/>
    <x v="5"/>
  </r>
  <r>
    <s v="Santa Cita"/>
    <s v="Moustierense"/>
    <s v="não"/>
    <x v="5"/>
  </r>
  <r>
    <s v="Santo Antao do Tojal"/>
    <s v="Moustierense"/>
    <s v="sim"/>
    <x v="5"/>
  </r>
  <r>
    <s v="Sapateiros 2"/>
    <s v="Moustierense"/>
    <s v="não"/>
    <x v="2"/>
  </r>
  <r>
    <s v="Tapada do Montinho"/>
    <s v="Moustierense"/>
    <s v="não"/>
    <x v="8"/>
  </r>
  <r>
    <s v="Terra do Jose Pereira"/>
    <s v="Solutrense"/>
    <s v="não"/>
    <x v="2"/>
  </r>
  <r>
    <s v="Terra do Manuel "/>
    <s v="Gravetense"/>
    <s v="sim"/>
    <x v="2"/>
  </r>
  <r>
    <s v="Terra do Manuel "/>
    <s v="Solutrense"/>
    <s v="sim"/>
    <x v="2"/>
  </r>
  <r>
    <s v="Vale Boi"/>
    <s v="Gravetense"/>
    <s v="sim"/>
    <x v="5"/>
  </r>
  <r>
    <s v="Vale Boi"/>
    <s v="Solutrense"/>
    <s v="sim"/>
    <x v="5"/>
  </r>
  <r>
    <s v="Vale Comprido - Barraca"/>
    <s v="Gravetense"/>
    <s v="não"/>
    <x v="2"/>
  </r>
  <r>
    <s v="Vale Comprido - Cruzamento"/>
    <s v="Gravetense"/>
    <s v="sim"/>
    <x v="2"/>
  </r>
  <r>
    <s v="Vale Comprido - Encosta"/>
    <s v="Solutrense"/>
    <s v="não"/>
    <x v="2"/>
  </r>
  <r>
    <s v="Vale da Almoinha"/>
    <s v="Solutrense"/>
    <s v="sim"/>
    <x v="5"/>
  </r>
  <r>
    <s v="Vale das Buracas"/>
    <s v="Gravetense"/>
    <s v="não"/>
    <x v="0"/>
  </r>
  <r>
    <s v="Vale das Buracas"/>
    <s v="Solutrense"/>
    <s v="não"/>
    <x v="0"/>
  </r>
  <r>
    <s v="Vale dos Porcos I"/>
    <s v="Aurinhacense"/>
    <s v="não"/>
    <x v="1"/>
  </r>
  <r>
    <s v="Vale dos Porcos I"/>
    <s v="Gravetense"/>
    <s v="não"/>
    <x v="1"/>
  </r>
  <r>
    <s v="Vale dos Porcos II"/>
    <s v="Aurinhacense"/>
    <s v="não"/>
    <x v="1"/>
  </r>
  <r>
    <s v="Vales da Senhora da Luz"/>
    <s v="Gravetense"/>
    <s v="não"/>
    <x v="2"/>
  </r>
  <r>
    <s v="Vascas"/>
    <s v="Aurinhacense"/>
    <s v="não"/>
    <x v="1"/>
  </r>
  <r>
    <s v="Vascas"/>
    <s v="Gravetense"/>
    <s v="não"/>
    <x v="1"/>
  </r>
  <r>
    <s v="Vilas ruivas"/>
    <s v="Moustierense"/>
    <s v="sim"/>
    <x v="2"/>
  </r>
  <r>
    <s v="Vale da Porta"/>
    <s v="Moustierense"/>
    <s v="não"/>
    <x v="1"/>
  </r>
  <r>
    <s v="Vale do Forno 8"/>
    <s v="Moustierense"/>
    <s v="sim"/>
    <x v="5"/>
  </r>
  <r>
    <s v="Vale Santo"/>
    <s v="Moustierense"/>
    <s v="não"/>
    <x v="1"/>
  </r>
  <r>
    <s v="Abrigo del Capurri"/>
    <s v="Solutrense"/>
    <s v="não"/>
    <x v="9"/>
  </r>
  <r>
    <s v="Bolomor"/>
    <s v="Moustierense"/>
    <s v="sim"/>
    <x v="6"/>
  </r>
  <r>
    <s v="Cochino"/>
    <s v="Moustierense"/>
    <s v="não"/>
    <x v="11"/>
  </r>
  <r>
    <s v="Complejo del Humo - Abrigo 4"/>
    <s v="Moustierense"/>
    <s v="não"/>
    <x v="5"/>
  </r>
  <r>
    <s v="Cova Ampla del Cap Gros"/>
    <s v="Solutrense"/>
    <s v="não"/>
    <x v="12"/>
  </r>
  <r>
    <s v="Cova de les Cendres"/>
    <s v="Gravetense"/>
    <s v="sim"/>
    <x v="12"/>
  </r>
  <r>
    <s v="Cova de les Cendres"/>
    <s v="Solutrense"/>
    <s v="sim"/>
    <x v="12"/>
  </r>
  <r>
    <s v="Cova Foradada (ou Forada)"/>
    <s v="Aurinhacense"/>
    <s v="sim"/>
    <x v="12"/>
  </r>
  <r>
    <s v="Cova Foradada (ou Forada)"/>
    <s v="Moustierense"/>
    <s v="sim"/>
    <x v="12"/>
  </r>
  <r>
    <s v="Cova del Llop"/>
    <s v="Solutrense"/>
    <s v="não"/>
    <x v="2"/>
  </r>
  <r>
    <s v="Cova de les Maravelles"/>
    <s v="Solutrense"/>
    <s v="sim"/>
    <x v="6"/>
  </r>
  <r>
    <s v="Cova del Moro"/>
    <s v="Solutrense"/>
    <s v="sim"/>
    <x v="13"/>
  </r>
  <r>
    <s v="Cova Negra"/>
    <s v="Moustierense"/>
    <s v="não"/>
    <x v="0"/>
  </r>
  <r>
    <s v="Cova Negra"/>
    <s v="Aurinhacense"/>
    <s v="não"/>
    <x v="0"/>
  </r>
  <r>
    <s v="Cova Vermelha"/>
    <s v="Solutrense"/>
    <s v="não"/>
    <x v="7"/>
  </r>
  <r>
    <s v="Cova dels Porcs"/>
    <s v="Solutrense"/>
    <s v="não"/>
    <x v="1"/>
  </r>
  <r>
    <s v="Cova Perneras"/>
    <s v="Aurinhacense"/>
    <s v="não"/>
    <x v="1"/>
  </r>
  <r>
    <s v="Cova Perneras "/>
    <s v="Moustierense"/>
    <s v="não"/>
    <x v="1"/>
  </r>
  <r>
    <s v="Cueva Anton"/>
    <s v="Moustierense"/>
    <s v="sim"/>
    <x v="7"/>
  </r>
  <r>
    <s v="Cueva Ambrosio"/>
    <s v="Solutrense"/>
    <s v="sim"/>
    <x v="14"/>
  </r>
  <r>
    <s v="Cueva Beneito"/>
    <s v="Moustierense"/>
    <s v="sim"/>
    <x v="15"/>
  </r>
  <r>
    <s v="Cueva Beneito"/>
    <s v="Aurinhacense"/>
    <s v="sim"/>
    <x v="15"/>
  </r>
  <r>
    <s v="Cueva Beneito"/>
    <s v="Gravetense"/>
    <s v="não"/>
    <x v="15"/>
  </r>
  <r>
    <s v="Cueva Beneito"/>
    <s v="Solutrense"/>
    <s v="sim"/>
    <x v="15"/>
  </r>
  <r>
    <s v="Cueva Boquete de Zafarraya"/>
    <s v="Moustierense"/>
    <s v="sim"/>
    <x v="14"/>
  </r>
  <r>
    <s v="Cueva Boquete de Zafarraya"/>
    <s v="Aurinhacense"/>
    <s v="não"/>
    <x v="14"/>
  </r>
  <r>
    <s v="Cueva Boquete de Zafarraya"/>
    <s v="Gravetense"/>
    <s v="não"/>
    <x v="14"/>
  </r>
  <r>
    <s v="Cueva Boquete de Zafarraya"/>
    <s v="Solutrense"/>
    <s v="sim"/>
    <x v="14"/>
  </r>
  <r>
    <s v="Cueva de Barranc Blanc"/>
    <s v="Gravetense"/>
    <s v="sim"/>
    <x v="2"/>
  </r>
  <r>
    <s v="Cueva de Barranc Blanc"/>
    <s v="Solutrense"/>
    <s v="sim"/>
    <x v="2"/>
  </r>
  <r>
    <s v="Cueva de Cejo del Pantano"/>
    <s v="Solutrense"/>
    <s v="não"/>
    <x v="9"/>
  </r>
  <r>
    <s v="Cueva de la Cariguela"/>
    <s v="Moustierense"/>
    <s v="sim"/>
    <x v="14"/>
  </r>
  <r>
    <s v="Cueva de les Mallaetes"/>
    <s v="Aurinhacense"/>
    <s v="sim"/>
    <x v="16"/>
  </r>
  <r>
    <s v="Cueva de les Mallaetes"/>
    <s v="Gravetense"/>
    <s v="sim"/>
    <x v="16"/>
  </r>
  <r>
    <s v="Cueva de les Mallaetes"/>
    <s v="Solutrense"/>
    <s v="sim"/>
    <x v="16"/>
  </r>
  <r>
    <s v="Cueva de los Aviones"/>
    <s v="Moustierense"/>
    <s v="sim"/>
    <x v="14"/>
  </r>
  <r>
    <s v="Cueva de los Morceguillos"/>
    <s v="Gravetense"/>
    <s v="não"/>
    <x v="10"/>
  </r>
  <r>
    <s v="Cueva de los Morceguillos"/>
    <s v="Solutrense"/>
    <s v="não"/>
    <x v="10"/>
  </r>
  <r>
    <s v="Cueva de los Ojos"/>
    <s v="Solutrense"/>
    <s v="não"/>
    <x v="17"/>
  </r>
  <r>
    <s v="Cueva de Nerja"/>
    <s v="Gravetense"/>
    <s v="sim"/>
    <x v="6"/>
  </r>
  <r>
    <s v="Cueva de Nerja"/>
    <s v="Solutrense"/>
    <s v="sim"/>
    <x v="6"/>
  </r>
  <r>
    <s v="Cueva de Tajo del jorox"/>
    <s v="Solutrense"/>
    <s v="não"/>
    <x v="11"/>
  </r>
  <r>
    <s v="Cueva del Higueral- Guardia de Motillas"/>
    <s v="Moustierense"/>
    <s v="sim"/>
    <x v="8"/>
  </r>
  <r>
    <s v="Cueva del Higueral - Guardia de Motillas"/>
    <s v="Solutrense"/>
    <s v="sim"/>
    <x v="8"/>
  </r>
  <r>
    <s v="Cueva del Parpallo"/>
    <s v="Gravetense"/>
    <s v="sim"/>
    <x v="10"/>
  </r>
  <r>
    <s v="Cueva del Parpallo"/>
    <s v="Solutrense"/>
    <s v="sim"/>
    <x v="10"/>
  </r>
  <r>
    <s v="Cueva del Serron -La Palica"/>
    <s v="Gravetense"/>
    <s v="não"/>
    <x v="2"/>
  </r>
  <r>
    <s v="Cueva del Serron -La Palica"/>
    <s v="Solutrense"/>
    <s v="não"/>
    <x v="2"/>
  </r>
  <r>
    <s v="Cueva Hora"/>
    <s v="Moustierense"/>
    <s v="não"/>
    <x v="14"/>
  </r>
  <r>
    <s v="Cueva de la Pileta"/>
    <s v="Moustierense"/>
    <s v="não"/>
    <x v="14"/>
  </r>
  <r>
    <s v="Cueva de la Pileta"/>
    <s v="Gravetense"/>
    <s v="não"/>
    <x v="14"/>
  </r>
  <r>
    <s v="Cueva de la Pileta"/>
    <s v="Solutrense"/>
    <s v="sim"/>
    <x v="14"/>
  </r>
  <r>
    <s v="Cueva Perneras"/>
    <s v="Moustierense"/>
    <s v="sim"/>
    <x v="9"/>
  </r>
  <r>
    <s v="Cueva Perneras"/>
    <s v="Aurinhacense"/>
    <s v="sim"/>
    <x v="9"/>
  </r>
  <r>
    <s v=" Cueva de Levante"/>
    <s v="Solutrense"/>
    <s v="não"/>
    <x v="5"/>
  </r>
  <r>
    <s v="El Bajondillo"/>
    <s v="Moustierense"/>
    <s v="não"/>
    <x v="5"/>
  </r>
  <r>
    <s v="El Bajondillo"/>
    <s v="Aurinhacense"/>
    <s v="sim"/>
    <x v="5"/>
  </r>
  <r>
    <s v="El Bajondillo"/>
    <s v="Gravetense"/>
    <s v="sim"/>
    <x v="5"/>
  </r>
  <r>
    <s v="El Bajondillo"/>
    <s v="Solutrense"/>
    <s v="sim"/>
    <x v="5"/>
  </r>
  <r>
    <s v="El Palomar"/>
    <s v="Moustierense"/>
    <s v="não"/>
    <x v="11"/>
  </r>
  <r>
    <s v="El Palomar"/>
    <s v="Gravetense"/>
    <s v="sim"/>
    <x v="11"/>
  </r>
  <r>
    <s v="El Palomar"/>
    <s v="Solutrense"/>
    <s v="não"/>
    <x v="11"/>
  </r>
  <r>
    <s v=" El Pirulejo"/>
    <s v="Solutrense"/>
    <s v="sim"/>
    <x v="11"/>
  </r>
  <r>
    <s v="Finca Dona Martina"/>
    <s v="Gravetense"/>
    <s v="não"/>
    <x v="7"/>
  </r>
  <r>
    <s v="Finca Dona Martina"/>
    <s v="Solutrense"/>
    <s v="sim"/>
    <x v="7"/>
  </r>
  <r>
    <s v="Gorham Cave"/>
    <s v="Moustierense"/>
    <s v="sim"/>
    <x v="5"/>
  </r>
  <r>
    <s v="Gorham Cave"/>
    <s v="Aurinhacense"/>
    <s v="sim"/>
    <x v="5"/>
  </r>
  <r>
    <s v="Gorham Cave"/>
    <s v="Gravetense"/>
    <s v="não"/>
    <x v="5"/>
  </r>
  <r>
    <s v="Gorham Cave"/>
    <s v="Solutrense"/>
    <s v="sim"/>
    <x v="5"/>
  </r>
  <r>
    <s v="Higueral de Sierra Valleja"/>
    <s v="Moustierense"/>
    <s v="sim"/>
    <x v="1"/>
  </r>
  <r>
    <s v="Higueral de Sierra Valleja"/>
    <s v="Gravetense"/>
    <s v="sim"/>
    <x v="1"/>
  </r>
  <r>
    <s v="Higueral de Sierra Valleja"/>
    <s v="Solutrense"/>
    <s v="não"/>
    <x v="1"/>
  </r>
  <r>
    <s v="La Fontanilla"/>
    <s v="Solutrense"/>
    <s v="não"/>
    <x v="5"/>
  </r>
  <r>
    <s v="La Boja"/>
    <s v="Gravetense"/>
    <s v="sim"/>
    <x v="7"/>
  </r>
  <r>
    <s v="La Boja"/>
    <s v="Solutrense"/>
    <s v="sim"/>
    <x v="7"/>
  </r>
  <r>
    <s v="Las Palomas "/>
    <s v="Gravetense"/>
    <s v="não"/>
    <x v="5"/>
  </r>
  <r>
    <s v="Las Ventanas"/>
    <s v="Moustierense"/>
    <s v="não"/>
    <x v="14"/>
  </r>
  <r>
    <s v="Las Ventanas"/>
    <s v="Solutrense"/>
    <s v="não"/>
    <x v="14"/>
  </r>
  <r>
    <s v="Pantano de Cubillas"/>
    <s v="Solutrense"/>
    <s v="não"/>
    <x v="18"/>
  </r>
  <r>
    <s v="Pena  de la Grieta"/>
    <s v="Solutrense"/>
    <s v="não"/>
    <x v="12"/>
  </r>
  <r>
    <s v="Rates Penaes"/>
    <s v="Solutrense"/>
    <s v="não"/>
    <x v="1"/>
  </r>
  <r>
    <s v="Ratlla del Bubo"/>
    <s v="Gravetense"/>
    <s v="sim"/>
    <x v="6"/>
  </r>
  <r>
    <s v="Ratlla del Bubo"/>
    <s v="Solutrense"/>
    <s v="sim"/>
    <x v="6"/>
  </r>
  <r>
    <s v="Sima de Las Palomas del Cabezo Gordo"/>
    <s v="Moustierense"/>
    <s v="sim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7AFA4-D331-41C4-A280-29780374926F}" name="Tabela Dinâmica9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6">
  <location ref="A3:C11" firstHeaderRow="1" firstDataRow="1" firstDataCol="2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ronology" axis="axisRow" compact="0" outline="0" showAll="0" defaultSubtotal="0">
      <items count="4">
        <item n="Aurignacian" x="3"/>
        <item n="Gravettian" x="2"/>
        <item n="Mousterian" x="0"/>
        <item n="Solutrean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Datation" axis="axisRow" compact="0" outline="0" showAll="0" defaultSubtotal="0">
      <items count="2">
        <item n="no" x="0"/>
        <item n="yes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7"/>
  </rowFields>
  <rowItems count="8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</rowItems>
  <colItems count="1">
    <i/>
  </colItems>
  <dataFields count="1">
    <dataField name="Contagem de  Sitio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3A0B1-F4BB-4881-9DC6-46D3C826FCAD}" name="Tabela Dinâmica20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2">
  <location ref="A1:B5" firstHeaderRow="1" firstDataRow="1" firstDataCol="1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ronology " axis="axisRow" compact="0" outline="0" showAll="0" defaultSubtotal="0">
      <items count="4">
        <item n="Aurinhacense" x="3"/>
        <item n="Gravetense" x="2"/>
        <item n="Moustierense" x="0"/>
        <item n="Solutrense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tagem de  Sitio" fld="1" subtotal="count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9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9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5BC52-BF75-4186-8180-56C1CEA227C2}" name="Tabela Dinâmica10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7">
  <location ref="A1:B4" firstHeaderRow="1" firstDataRow="1" firstDataCol="1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n="Rockshelter" x="0"/>
        <item n="Open-air" x="2"/>
        <item n="cave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ntagem de  Sitio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8F5F6-1331-4BD4-B575-EEE496F6FD02}" name="Tabela Dinâmica13" cacheId="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B22" firstHeaderRow="1" firstDataRow="1" firstDataCol="1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5"/>
        <item x="3"/>
        <item x="14"/>
        <item x="2"/>
        <item x="6"/>
        <item x="4"/>
        <item x="0"/>
        <item x="9"/>
        <item x="7"/>
        <item x="12"/>
        <item x="8"/>
        <item x="10"/>
        <item x="1"/>
        <item x="11"/>
        <item x="18"/>
        <item x="16"/>
        <item x="17"/>
        <item x="15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Items count="1">
    <i/>
  </colItems>
  <dataFields count="1">
    <dataField name="Contagem de  Sitio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26AF1-9537-4F0A-83BF-B8C01DEF1CCD}" name="Tabela Dinâmica39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1:C21" firstHeaderRow="1" firstDataRow="2" firstDataCol="1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5"/>
        <item x="3"/>
        <item x="14"/>
        <item x="2"/>
        <item x="6"/>
        <item x="4"/>
        <item x="0"/>
        <item x="9"/>
        <item x="7"/>
        <item x="12"/>
        <item x="8"/>
        <item x="10"/>
        <item x="1"/>
        <item x="11"/>
        <item x="18"/>
        <item x="16"/>
        <item x="17"/>
        <item x="15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Fields count="1">
    <field x="2"/>
  </colFields>
  <colItems count="2">
    <i>
      <x/>
    </i>
    <i>
      <x v="1"/>
    </i>
  </colItems>
  <dataFields count="1">
    <dataField name="Contagem de  Sitio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gme.maps.arcgis.com/home/webmap/viewer.html?webmap=c61f2f47789b4a0b84ae6aebca552754%20/" TargetMode="External"/><Relationship Id="rId2" Type="http://schemas.openxmlformats.org/officeDocument/2006/relationships/hyperlink" Target="https://www.marineregions.org/gazetteer.php?p=details&amp;id=7124%20ou%20gadm.org" TargetMode="External"/><Relationship Id="rId1" Type="http://schemas.openxmlformats.org/officeDocument/2006/relationships/hyperlink" Target="https://emodnet.ec.europa.eu/geoviewer/" TargetMode="External"/><Relationship Id="rId5" Type="http://schemas.openxmlformats.org/officeDocument/2006/relationships/hyperlink" Target="https://info.igme.es/cartografiadigital/geologica/Geologicos1MMapa.aspx?Id=Geologico1000_(1994)&amp;language=es" TargetMode="External"/><Relationship Id="rId4" Type="http://schemas.openxmlformats.org/officeDocument/2006/relationships/hyperlink" Target="https://search.earthdata.nasa.gov/search?q=SRTM&amp;lat=79.79316615018855&amp;long=-282.9375&amp;zoom=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5BB7-15B6-4B78-A11E-753B1CD4BC61}">
  <dimension ref="A1:BU430"/>
  <sheetViews>
    <sheetView tabSelected="1" topLeftCell="M1" zoomScale="60" zoomScaleNormal="60" workbookViewId="0">
      <pane ySplit="1" topLeftCell="A87" activePane="bottomLeft" state="frozen"/>
      <selection pane="bottomLeft" activeCell="A192" sqref="A192:XFD192"/>
    </sheetView>
  </sheetViews>
  <sheetFormatPr defaultRowHeight="14.4" x14ac:dyDescent="0.3"/>
  <cols>
    <col min="1" max="1" width="37" style="1" customWidth="1"/>
    <col min="2" max="2" width="12.5546875" style="1" customWidth="1"/>
    <col min="3" max="3" width="13.33203125" style="1" customWidth="1"/>
    <col min="4" max="4" width="11.6640625" style="1" customWidth="1"/>
    <col min="5" max="5" width="57.6640625" style="1" bestFit="1" customWidth="1"/>
    <col min="6" max="6" width="31.5546875" style="1" customWidth="1"/>
    <col min="7" max="7" width="11.88671875" style="1" customWidth="1"/>
    <col min="8" max="8" width="29.5546875" style="1" customWidth="1"/>
    <col min="9" max="9" width="37.5546875" style="1" customWidth="1"/>
    <col min="10" max="10" width="16.33203125" style="1" customWidth="1"/>
    <col min="11" max="11" width="11.44140625" style="1" customWidth="1"/>
    <col min="12" max="12" width="50" customWidth="1"/>
    <col min="13" max="13" width="141.88671875" style="1" customWidth="1"/>
    <col min="14" max="14" width="94.5546875" customWidth="1"/>
    <col min="15" max="15" width="18.109375" style="39" customWidth="1"/>
    <col min="16" max="16" width="19.33203125" customWidth="1"/>
    <col min="17" max="17" width="17.44140625" customWidth="1"/>
    <col min="18" max="18" width="22" customWidth="1"/>
    <col min="19" max="19" width="55.21875" customWidth="1"/>
    <col min="20" max="20" width="129.77734375" style="40" customWidth="1"/>
  </cols>
  <sheetData>
    <row r="1" spans="1:20" ht="15.6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279</v>
      </c>
      <c r="F1" s="9" t="s">
        <v>275</v>
      </c>
      <c r="G1" s="9" t="s">
        <v>288</v>
      </c>
      <c r="H1" s="9" t="s">
        <v>360</v>
      </c>
      <c r="I1" s="8" t="s">
        <v>276</v>
      </c>
      <c r="J1" s="9" t="s">
        <v>277</v>
      </c>
      <c r="K1" s="9" t="s">
        <v>278</v>
      </c>
      <c r="L1" s="36" t="s">
        <v>457</v>
      </c>
      <c r="M1" s="10" t="s">
        <v>4</v>
      </c>
      <c r="N1" s="11" t="s">
        <v>274</v>
      </c>
      <c r="O1" s="38" t="s">
        <v>47</v>
      </c>
      <c r="P1" s="2" t="s">
        <v>25</v>
      </c>
      <c r="Q1" s="2" t="s">
        <v>11</v>
      </c>
      <c r="R1" s="2" t="s">
        <v>369</v>
      </c>
      <c r="S1" s="2" t="s">
        <v>389</v>
      </c>
      <c r="T1" s="3" t="s">
        <v>370</v>
      </c>
    </row>
    <row r="2" spans="1:20" ht="13.8" customHeight="1" x14ac:dyDescent="0.3">
      <c r="A2" s="19" t="s">
        <v>531</v>
      </c>
      <c r="B2" s="5" t="s">
        <v>5</v>
      </c>
      <c r="C2" s="5">
        <v>40.048194000000002</v>
      </c>
      <c r="D2" s="5">
        <v>-8.4987270000000006</v>
      </c>
      <c r="E2" s="5" t="s">
        <v>616</v>
      </c>
      <c r="F2" s="5" t="s">
        <v>386</v>
      </c>
      <c r="G2" s="5" t="s">
        <v>493</v>
      </c>
      <c r="H2" s="5" t="s">
        <v>313</v>
      </c>
      <c r="I2" s="5" t="s">
        <v>495</v>
      </c>
      <c r="J2" s="5" t="s">
        <v>494</v>
      </c>
      <c r="K2" s="5" t="s">
        <v>494</v>
      </c>
      <c r="L2" s="37" t="s">
        <v>458</v>
      </c>
      <c r="M2" s="5" t="s">
        <v>8</v>
      </c>
      <c r="N2" s="4"/>
      <c r="O2" s="66">
        <v>0.95</v>
      </c>
      <c r="P2" s="44">
        <v>2.5000000000000001E-2</v>
      </c>
      <c r="Q2" s="44">
        <v>2.5000000000000001E-2</v>
      </c>
      <c r="R2" s="44">
        <v>0</v>
      </c>
      <c r="S2" t="s">
        <v>617</v>
      </c>
      <c r="T2" s="40" t="s">
        <v>615</v>
      </c>
    </row>
    <row r="3" spans="1:20" ht="13.8" customHeight="1" x14ac:dyDescent="0.3">
      <c r="A3" s="19" t="s">
        <v>531</v>
      </c>
      <c r="B3" s="5" t="s">
        <v>5</v>
      </c>
      <c r="C3" s="5">
        <v>40.048194000000002</v>
      </c>
      <c r="D3" s="5">
        <v>-8.4987270000000006</v>
      </c>
      <c r="E3" s="5" t="s">
        <v>384</v>
      </c>
      <c r="F3" s="5" t="s">
        <v>24</v>
      </c>
      <c r="G3" s="5" t="s">
        <v>493</v>
      </c>
      <c r="H3" s="5" t="s">
        <v>313</v>
      </c>
      <c r="I3" s="5" t="s">
        <v>495</v>
      </c>
      <c r="J3" s="5" t="s">
        <v>494</v>
      </c>
      <c r="K3" s="5" t="s">
        <v>494</v>
      </c>
      <c r="L3" s="37" t="s">
        <v>458</v>
      </c>
      <c r="M3" s="5" t="s">
        <v>385</v>
      </c>
      <c r="N3" s="4"/>
      <c r="O3" s="66">
        <v>0.69</v>
      </c>
      <c r="P3" s="44">
        <v>0.25</v>
      </c>
      <c r="Q3" s="44">
        <v>0.11</v>
      </c>
      <c r="R3" s="44">
        <v>0</v>
      </c>
      <c r="S3" t="s">
        <v>618</v>
      </c>
      <c r="T3" s="40" t="s">
        <v>619</v>
      </c>
    </row>
    <row r="4" spans="1:20" ht="15" customHeight="1" x14ac:dyDescent="0.3">
      <c r="A4" s="19" t="s">
        <v>43</v>
      </c>
      <c r="B4" s="5" t="s">
        <v>23</v>
      </c>
      <c r="C4" s="5">
        <v>39.504762999999997</v>
      </c>
      <c r="D4" s="5">
        <v>-8.6155200000000001</v>
      </c>
      <c r="E4" s="5" t="s">
        <v>387</v>
      </c>
      <c r="F4" s="5" t="s">
        <v>19</v>
      </c>
      <c r="G4" s="5" t="s">
        <v>493</v>
      </c>
      <c r="H4" s="5" t="s">
        <v>313</v>
      </c>
      <c r="I4" s="5" t="s">
        <v>510</v>
      </c>
      <c r="J4" s="5" t="s">
        <v>494</v>
      </c>
      <c r="K4" s="5" t="s">
        <v>494</v>
      </c>
      <c r="L4" s="37" t="s">
        <v>459</v>
      </c>
      <c r="M4" s="5" t="s">
        <v>44</v>
      </c>
      <c r="N4" s="4" t="s">
        <v>496</v>
      </c>
      <c r="O4" s="39">
        <v>24</v>
      </c>
      <c r="P4" s="42">
        <v>20</v>
      </c>
      <c r="Q4">
        <v>51</v>
      </c>
      <c r="R4">
        <v>2</v>
      </c>
      <c r="S4" t="s">
        <v>388</v>
      </c>
      <c r="T4" s="40" t="s">
        <v>397</v>
      </c>
    </row>
    <row r="5" spans="1:20" ht="13.8" customHeight="1" x14ac:dyDescent="0.3">
      <c r="A5" s="19" t="s">
        <v>9</v>
      </c>
      <c r="B5" s="5" t="s">
        <v>15</v>
      </c>
      <c r="C5" s="5">
        <v>39.608369000000003</v>
      </c>
      <c r="D5" s="5">
        <v>-7.6962770000000003</v>
      </c>
      <c r="E5" s="5" t="s">
        <v>10</v>
      </c>
      <c r="F5" s="5" t="s">
        <v>6</v>
      </c>
      <c r="G5" s="5" t="s">
        <v>494</v>
      </c>
      <c r="H5" s="5" t="s">
        <v>498</v>
      </c>
      <c r="I5" s="5" t="s">
        <v>497</v>
      </c>
      <c r="J5" s="5" t="s">
        <v>494</v>
      </c>
      <c r="K5" s="5" t="s">
        <v>493</v>
      </c>
      <c r="L5" s="37" t="s">
        <v>460</v>
      </c>
      <c r="M5" s="5" t="s">
        <v>13</v>
      </c>
      <c r="N5" s="4"/>
      <c r="O5" s="43">
        <v>0.02</v>
      </c>
      <c r="P5" s="44">
        <v>0.28999999999999998</v>
      </c>
      <c r="Q5" s="44">
        <v>0.62</v>
      </c>
      <c r="R5" s="44">
        <v>7.0000000000000007E-2</v>
      </c>
      <c r="S5" t="s">
        <v>390</v>
      </c>
    </row>
    <row r="6" spans="1:20" ht="16.2" customHeight="1" x14ac:dyDescent="0.3">
      <c r="A6" s="19" t="s">
        <v>532</v>
      </c>
      <c r="B6" s="5" t="s">
        <v>15</v>
      </c>
      <c r="C6" s="5">
        <v>38.887484000000001</v>
      </c>
      <c r="D6" s="5">
        <v>-8.7941029999999998</v>
      </c>
      <c r="E6" s="5" t="s">
        <v>502</v>
      </c>
      <c r="F6" s="5" t="s">
        <v>6</v>
      </c>
      <c r="G6" s="5" t="s">
        <v>493</v>
      </c>
      <c r="H6" s="5" t="s">
        <v>313</v>
      </c>
      <c r="I6" s="5" t="s">
        <v>499</v>
      </c>
      <c r="J6" s="5" t="s">
        <v>494</v>
      </c>
      <c r="K6" s="5" t="s">
        <v>493</v>
      </c>
      <c r="L6" s="37" t="s">
        <v>461</v>
      </c>
      <c r="M6" s="5" t="s">
        <v>16</v>
      </c>
      <c r="N6" s="4"/>
      <c r="O6" s="39" t="s">
        <v>500</v>
      </c>
      <c r="P6" s="4" t="s">
        <v>500</v>
      </c>
      <c r="Q6" t="s">
        <v>394</v>
      </c>
      <c r="R6" s="4" t="s">
        <v>500</v>
      </c>
      <c r="S6" t="s">
        <v>393</v>
      </c>
    </row>
    <row r="7" spans="1:20" ht="12.6" customHeight="1" x14ac:dyDescent="0.3">
      <c r="A7" s="19" t="s">
        <v>501</v>
      </c>
      <c r="B7" s="5" t="s">
        <v>15</v>
      </c>
      <c r="C7" s="5">
        <v>39.083241000000001</v>
      </c>
      <c r="D7" s="5">
        <v>-9.413157</v>
      </c>
      <c r="E7" s="5" t="s">
        <v>503</v>
      </c>
      <c r="F7" s="5" t="s">
        <v>19</v>
      </c>
      <c r="G7" s="5" t="s">
        <v>493</v>
      </c>
      <c r="H7" s="5" t="s">
        <v>313</v>
      </c>
      <c r="I7" s="5" t="s">
        <v>508</v>
      </c>
      <c r="J7" s="5" t="s">
        <v>494</v>
      </c>
      <c r="K7" s="5" t="s">
        <v>493</v>
      </c>
      <c r="L7" s="37" t="s">
        <v>459</v>
      </c>
      <c r="M7" s="5" t="s">
        <v>20</v>
      </c>
      <c r="N7" s="4"/>
      <c r="O7" s="41" t="s">
        <v>507</v>
      </c>
      <c r="P7" t="s">
        <v>500</v>
      </c>
      <c r="Q7" t="s">
        <v>500</v>
      </c>
      <c r="R7" t="s">
        <v>507</v>
      </c>
      <c r="S7" t="s">
        <v>629</v>
      </c>
      <c r="T7" s="40" t="s">
        <v>396</v>
      </c>
    </row>
    <row r="8" spans="1:20" ht="14.4" customHeight="1" x14ac:dyDescent="0.3">
      <c r="A8" s="19" t="s">
        <v>22</v>
      </c>
      <c r="B8" s="5" t="s">
        <v>23</v>
      </c>
      <c r="C8" s="5">
        <v>39.979855999999998</v>
      </c>
      <c r="D8" s="5">
        <v>-8.5518380000000001</v>
      </c>
      <c r="E8" s="5" t="s">
        <v>620</v>
      </c>
      <c r="F8" s="5" t="s">
        <v>24</v>
      </c>
      <c r="G8" s="5" t="s">
        <v>494</v>
      </c>
      <c r="H8" t="s">
        <v>509</v>
      </c>
      <c r="I8" s="5" t="s">
        <v>504</v>
      </c>
      <c r="J8" s="5" t="s">
        <v>494</v>
      </c>
      <c r="K8" s="5" t="s">
        <v>494</v>
      </c>
      <c r="L8" s="37" t="s">
        <v>462</v>
      </c>
      <c r="M8" s="5" t="s">
        <v>26</v>
      </c>
      <c r="N8" s="4" t="s">
        <v>27</v>
      </c>
      <c r="O8" s="41">
        <v>28</v>
      </c>
      <c r="P8">
        <v>49</v>
      </c>
      <c r="Q8" s="4">
        <v>1</v>
      </c>
      <c r="R8">
        <v>5</v>
      </c>
      <c r="S8" t="s">
        <v>621</v>
      </c>
    </row>
    <row r="9" spans="1:20" ht="15.6" customHeight="1" x14ac:dyDescent="0.3">
      <c r="A9" s="19" t="s">
        <v>22</v>
      </c>
      <c r="B9" s="5" t="s">
        <v>23</v>
      </c>
      <c r="C9" s="5">
        <v>39.979855999999998</v>
      </c>
      <c r="D9" s="5">
        <v>-8.5518380000000001</v>
      </c>
      <c r="E9" s="5" t="s">
        <v>622</v>
      </c>
      <c r="F9" s="5" t="s">
        <v>6</v>
      </c>
      <c r="G9" s="5" t="s">
        <v>494</v>
      </c>
      <c r="H9" s="5" t="s">
        <v>542</v>
      </c>
      <c r="I9" s="5" t="s">
        <v>508</v>
      </c>
      <c r="J9" s="5" t="s">
        <v>494</v>
      </c>
      <c r="K9" s="5" t="s">
        <v>494</v>
      </c>
      <c r="L9" s="37" t="s">
        <v>462</v>
      </c>
      <c r="M9" s="5" t="s">
        <v>623</v>
      </c>
      <c r="N9" s="4" t="s">
        <v>27</v>
      </c>
      <c r="O9" s="41" t="s">
        <v>628</v>
      </c>
      <c r="P9" s="4" t="s">
        <v>394</v>
      </c>
      <c r="Q9" s="4" t="s">
        <v>500</v>
      </c>
      <c r="R9" t="s">
        <v>500</v>
      </c>
      <c r="S9" t="s">
        <v>624</v>
      </c>
    </row>
    <row r="10" spans="1:20" ht="16.8" customHeight="1" x14ac:dyDescent="0.3">
      <c r="A10" s="95" t="s">
        <v>28</v>
      </c>
      <c r="B10" s="4" t="s">
        <v>23</v>
      </c>
      <c r="C10" s="4">
        <v>39.980927000000001</v>
      </c>
      <c r="D10" s="4">
        <v>-8.5496440000000007</v>
      </c>
      <c r="E10" s="4" t="s">
        <v>726</v>
      </c>
      <c r="F10" s="4" t="s">
        <v>6</v>
      </c>
      <c r="G10" s="4" t="s">
        <v>493</v>
      </c>
      <c r="H10" s="4" t="s">
        <v>313</v>
      </c>
      <c r="I10" s="4" t="s">
        <v>497</v>
      </c>
      <c r="J10" s="4" t="s">
        <v>493</v>
      </c>
      <c r="K10" s="4" t="s">
        <v>494</v>
      </c>
      <c r="L10" s="37" t="s">
        <v>462</v>
      </c>
      <c r="M10" s="4" t="s">
        <v>29</v>
      </c>
      <c r="N10" s="49"/>
      <c r="O10">
        <v>0</v>
      </c>
      <c r="P10">
        <v>3</v>
      </c>
      <c r="Q10">
        <v>1</v>
      </c>
      <c r="R10">
        <v>0</v>
      </c>
      <c r="S10" t="s">
        <v>723</v>
      </c>
      <c r="T10"/>
    </row>
    <row r="11" spans="1:20" ht="17.399999999999999" customHeight="1" x14ac:dyDescent="0.3">
      <c r="A11" s="95" t="s">
        <v>28</v>
      </c>
      <c r="B11" s="4" t="s">
        <v>23</v>
      </c>
      <c r="C11" s="4">
        <v>39.980927000000001</v>
      </c>
      <c r="D11" s="4">
        <v>-8.5496440000000007</v>
      </c>
      <c r="E11" s="4" t="s">
        <v>166</v>
      </c>
      <c r="F11" s="4" t="s">
        <v>24</v>
      </c>
      <c r="G11" s="4" t="s">
        <v>494</v>
      </c>
      <c r="H11" s="4" t="s">
        <v>506</v>
      </c>
      <c r="I11" s="4" t="s">
        <v>495</v>
      </c>
      <c r="J11" s="4" t="s">
        <v>494</v>
      </c>
      <c r="K11" s="4" t="s">
        <v>505</v>
      </c>
      <c r="L11" s="37" t="s">
        <v>462</v>
      </c>
      <c r="M11" s="4" t="s">
        <v>30</v>
      </c>
      <c r="N11" s="49"/>
      <c r="O11" s="71" t="s">
        <v>394</v>
      </c>
      <c r="P11" s="71" t="s">
        <v>394</v>
      </c>
      <c r="Q11" s="71" t="s">
        <v>507</v>
      </c>
      <c r="R11" s="71" t="s">
        <v>500</v>
      </c>
      <c r="S11" s="72" t="s">
        <v>724</v>
      </c>
      <c r="T11" s="72" t="s">
        <v>727</v>
      </c>
    </row>
    <row r="12" spans="1:20" ht="17.399999999999999" customHeight="1" x14ac:dyDescent="0.3">
      <c r="A12" s="95" t="s">
        <v>28</v>
      </c>
      <c r="B12" s="4" t="s">
        <v>23</v>
      </c>
      <c r="C12" s="4">
        <v>39.980927000000001</v>
      </c>
      <c r="D12" s="4">
        <v>-8.5496440000000007</v>
      </c>
      <c r="E12" s="4" t="s">
        <v>725</v>
      </c>
      <c r="F12" s="4" t="s">
        <v>19</v>
      </c>
      <c r="G12" s="4" t="s">
        <v>494</v>
      </c>
      <c r="H12" s="96" t="s">
        <v>551</v>
      </c>
      <c r="I12" s="4" t="s">
        <v>495</v>
      </c>
      <c r="J12" s="4" t="s">
        <v>494</v>
      </c>
      <c r="K12" s="4" t="s">
        <v>494</v>
      </c>
      <c r="L12" s="37" t="s">
        <v>462</v>
      </c>
      <c r="M12" s="4" t="s">
        <v>30</v>
      </c>
      <c r="N12" s="49"/>
      <c r="O12" s="72" t="s">
        <v>394</v>
      </c>
      <c r="P12" s="72" t="s">
        <v>394</v>
      </c>
      <c r="Q12" s="77" t="s">
        <v>507</v>
      </c>
      <c r="R12" s="72" t="s">
        <v>500</v>
      </c>
      <c r="S12" s="72" t="s">
        <v>724</v>
      </c>
      <c r="T12" s="72" t="s">
        <v>728</v>
      </c>
    </row>
    <row r="13" spans="1:20" ht="16.2" customHeight="1" x14ac:dyDescent="0.3">
      <c r="A13" s="19" t="s">
        <v>31</v>
      </c>
      <c r="B13" s="5" t="s">
        <v>15</v>
      </c>
      <c r="C13" s="5">
        <v>39.426144000000001</v>
      </c>
      <c r="D13" s="5">
        <v>-8.5644170000000006</v>
      </c>
      <c r="E13" s="5" t="s">
        <v>32</v>
      </c>
      <c r="F13" s="5" t="s">
        <v>19</v>
      </c>
      <c r="G13" s="5" t="s">
        <v>493</v>
      </c>
      <c r="H13" s="5" t="s">
        <v>313</v>
      </c>
      <c r="I13" s="5" t="s">
        <v>508</v>
      </c>
      <c r="J13" s="5" t="s">
        <v>494</v>
      </c>
      <c r="K13" s="5" t="s">
        <v>493</v>
      </c>
      <c r="L13" s="37" t="s">
        <v>459</v>
      </c>
      <c r="M13" s="5" t="s">
        <v>33</v>
      </c>
      <c r="N13" s="4"/>
      <c r="O13" s="46">
        <v>7244</v>
      </c>
      <c r="P13" s="47">
        <v>62</v>
      </c>
      <c r="Q13" s="47">
        <v>590</v>
      </c>
      <c r="R13">
        <v>8</v>
      </c>
      <c r="S13" t="s">
        <v>629</v>
      </c>
    </row>
    <row r="14" spans="1:20" x14ac:dyDescent="0.3">
      <c r="A14" s="19" t="s">
        <v>533</v>
      </c>
      <c r="B14" s="5" t="s">
        <v>15</v>
      </c>
      <c r="C14" s="5">
        <v>39.417422000000002</v>
      </c>
      <c r="D14" s="5">
        <v>-8.8554720000000007</v>
      </c>
      <c r="E14" s="5" t="s">
        <v>503</v>
      </c>
      <c r="F14" s="5" t="s">
        <v>35</v>
      </c>
      <c r="G14" s="5" t="s">
        <v>493</v>
      </c>
      <c r="H14" s="5" t="s">
        <v>313</v>
      </c>
      <c r="I14" s="5" t="s">
        <v>495</v>
      </c>
      <c r="J14" s="5" t="s">
        <v>494</v>
      </c>
      <c r="K14" s="5" t="s">
        <v>493</v>
      </c>
      <c r="L14" s="37" t="s">
        <v>460</v>
      </c>
      <c r="M14" s="5" t="s">
        <v>36</v>
      </c>
      <c r="N14" s="4"/>
      <c r="O14" s="39">
        <v>2290</v>
      </c>
      <c r="P14">
        <v>31</v>
      </c>
      <c r="Q14">
        <v>11</v>
      </c>
      <c r="R14">
        <v>13</v>
      </c>
      <c r="S14" t="s">
        <v>625</v>
      </c>
    </row>
    <row r="15" spans="1:20" ht="15" customHeight="1" x14ac:dyDescent="0.3">
      <c r="A15" s="19" t="s">
        <v>37</v>
      </c>
      <c r="B15" s="5" t="s">
        <v>15</v>
      </c>
      <c r="C15" s="5">
        <v>39.670535999999998</v>
      </c>
      <c r="D15" s="5">
        <v>-7.6781470000000001</v>
      </c>
      <c r="E15" s="48" t="s">
        <v>167</v>
      </c>
      <c r="F15" s="5" t="s">
        <v>6</v>
      </c>
      <c r="G15" s="5" t="s">
        <v>493</v>
      </c>
      <c r="H15" s="5" t="s">
        <v>313</v>
      </c>
      <c r="I15" s="5" t="s">
        <v>497</v>
      </c>
      <c r="J15" s="5" t="s">
        <v>494</v>
      </c>
      <c r="K15" s="5" t="s">
        <v>493</v>
      </c>
      <c r="L15" s="37" t="s">
        <v>460</v>
      </c>
      <c r="M15" s="5" t="s">
        <v>38</v>
      </c>
      <c r="N15" s="4"/>
      <c r="O15" s="39">
        <v>1</v>
      </c>
      <c r="P15">
        <v>2</v>
      </c>
      <c r="Q15">
        <v>362</v>
      </c>
      <c r="R15">
        <v>1</v>
      </c>
      <c r="S15" t="s">
        <v>626</v>
      </c>
    </row>
    <row r="16" spans="1:20" x14ac:dyDescent="0.3">
      <c r="A16" s="19" t="s">
        <v>153</v>
      </c>
      <c r="B16" s="5" t="s">
        <v>15</v>
      </c>
      <c r="C16" s="5">
        <v>37.954926</v>
      </c>
      <c r="D16" s="5">
        <v>-8.2047740000000005</v>
      </c>
      <c r="E16" s="5" t="s">
        <v>157</v>
      </c>
      <c r="F16" s="5" t="s">
        <v>6</v>
      </c>
      <c r="G16" s="5" t="s">
        <v>493</v>
      </c>
      <c r="H16" s="5" t="s">
        <v>313</v>
      </c>
      <c r="I16" s="5" t="s">
        <v>511</v>
      </c>
      <c r="J16" s="5" t="s">
        <v>493</v>
      </c>
      <c r="K16" s="5" t="s">
        <v>493</v>
      </c>
      <c r="L16" s="37" t="s">
        <v>459</v>
      </c>
      <c r="M16" s="5" t="s">
        <v>159</v>
      </c>
      <c r="N16" s="4"/>
      <c r="O16" s="39">
        <v>1</v>
      </c>
      <c r="P16" s="44">
        <v>0.31</v>
      </c>
      <c r="Q16">
        <v>0</v>
      </c>
      <c r="R16" s="44">
        <v>0.68</v>
      </c>
      <c r="S16" t="s">
        <v>627</v>
      </c>
      <c r="T16" s="40" t="s">
        <v>630</v>
      </c>
    </row>
    <row r="17" spans="1:20" ht="16.2" customHeight="1" x14ac:dyDescent="0.3">
      <c r="A17" s="19" t="s">
        <v>530</v>
      </c>
      <c r="B17" s="5" t="s">
        <v>15</v>
      </c>
      <c r="C17" s="5">
        <v>38.727525</v>
      </c>
      <c r="D17" s="5">
        <v>-8.9881510000000002</v>
      </c>
      <c r="E17" s="5" t="s">
        <v>168</v>
      </c>
      <c r="F17" s="5" t="s">
        <v>6</v>
      </c>
      <c r="G17" s="5" t="s">
        <v>494</v>
      </c>
      <c r="H17" s="5" t="s">
        <v>550</v>
      </c>
      <c r="I17" s="5" t="s">
        <v>497</v>
      </c>
      <c r="J17" s="5" t="s">
        <v>493</v>
      </c>
      <c r="K17" s="5" t="s">
        <v>493</v>
      </c>
      <c r="L17" s="37" t="s">
        <v>463</v>
      </c>
      <c r="M17" s="5" t="s">
        <v>40</v>
      </c>
      <c r="N17" s="4"/>
      <c r="O17" s="39">
        <v>4</v>
      </c>
      <c r="P17">
        <v>22</v>
      </c>
      <c r="Q17">
        <v>621</v>
      </c>
      <c r="R17">
        <v>0</v>
      </c>
      <c r="S17" t="s">
        <v>631</v>
      </c>
    </row>
    <row r="18" spans="1:20" ht="16.8" customHeight="1" x14ac:dyDescent="0.3">
      <c r="A18" s="19" t="s">
        <v>534</v>
      </c>
      <c r="B18" s="5" t="s">
        <v>15</v>
      </c>
      <c r="C18" s="5">
        <v>39.359681000000002</v>
      </c>
      <c r="D18" s="5">
        <v>-8.9387860000000003</v>
      </c>
      <c r="E18" s="5" t="s">
        <v>169</v>
      </c>
      <c r="F18" s="5" t="s">
        <v>24</v>
      </c>
      <c r="G18" s="5" t="s">
        <v>494</v>
      </c>
      <c r="H18" s="5" t="s">
        <v>545</v>
      </c>
      <c r="I18" s="5" t="s">
        <v>495</v>
      </c>
      <c r="J18" s="5" t="s">
        <v>494</v>
      </c>
      <c r="K18" s="5" t="s">
        <v>493</v>
      </c>
      <c r="L18" s="37" t="s">
        <v>459</v>
      </c>
      <c r="M18" s="5" t="s">
        <v>42</v>
      </c>
      <c r="N18" s="4"/>
      <c r="O18" s="39">
        <v>30011</v>
      </c>
      <c r="P18">
        <v>880</v>
      </c>
      <c r="Q18">
        <v>54</v>
      </c>
      <c r="R18">
        <v>0</v>
      </c>
      <c r="S18" t="s">
        <v>629</v>
      </c>
      <c r="T18" s="40" t="s">
        <v>398</v>
      </c>
    </row>
    <row r="19" spans="1:20" ht="15.6" customHeight="1" x14ac:dyDescent="0.3">
      <c r="A19" s="19" t="s">
        <v>45</v>
      </c>
      <c r="B19" s="5" t="s">
        <v>15</v>
      </c>
      <c r="C19" s="5">
        <v>39.074807</v>
      </c>
      <c r="D19" s="5">
        <v>-9.3977400000000006</v>
      </c>
      <c r="E19" s="5" t="s">
        <v>311</v>
      </c>
      <c r="F19" s="5" t="s">
        <v>24</v>
      </c>
      <c r="G19" s="5" t="s">
        <v>493</v>
      </c>
      <c r="H19" s="5" t="s">
        <v>313</v>
      </c>
      <c r="I19" s="5" t="s">
        <v>508</v>
      </c>
      <c r="J19" s="5" t="s">
        <v>494</v>
      </c>
      <c r="K19" s="5" t="s">
        <v>493</v>
      </c>
      <c r="L19" s="37" t="s">
        <v>463</v>
      </c>
      <c r="M19" s="5" t="s">
        <v>293</v>
      </c>
      <c r="N19" s="4"/>
      <c r="O19" s="41" t="s">
        <v>394</v>
      </c>
      <c r="P19" s="4" t="s">
        <v>628</v>
      </c>
      <c r="Q19" s="4" t="s">
        <v>500</v>
      </c>
      <c r="R19" t="s">
        <v>500</v>
      </c>
      <c r="S19" s="4" t="s">
        <v>629</v>
      </c>
      <c r="T19" s="49"/>
    </row>
    <row r="20" spans="1:20" ht="16.8" customHeight="1" x14ac:dyDescent="0.3">
      <c r="A20" s="20" t="s">
        <v>46</v>
      </c>
      <c r="B20" s="5" t="s">
        <v>15</v>
      </c>
      <c r="C20" s="5">
        <v>37.025652999999998</v>
      </c>
      <c r="D20" s="5">
        <v>-8.9860489999999995</v>
      </c>
      <c r="E20" s="5" t="s">
        <v>18</v>
      </c>
      <c r="F20" s="5" t="s">
        <v>6</v>
      </c>
      <c r="G20" s="5" t="s">
        <v>493</v>
      </c>
      <c r="H20" s="5" t="s">
        <v>313</v>
      </c>
      <c r="I20" s="5" t="s">
        <v>512</v>
      </c>
      <c r="J20" s="5" t="s">
        <v>493</v>
      </c>
      <c r="K20" s="5" t="s">
        <v>493</v>
      </c>
      <c r="L20" s="37" t="s">
        <v>459</v>
      </c>
      <c r="M20" s="5" t="s">
        <v>21</v>
      </c>
      <c r="N20" s="4"/>
      <c r="O20" s="43">
        <v>1</v>
      </c>
      <c r="P20" s="44">
        <v>0</v>
      </c>
      <c r="Q20" s="44">
        <v>0</v>
      </c>
      <c r="R20" s="44">
        <v>0</v>
      </c>
      <c r="S20" t="s">
        <v>632</v>
      </c>
    </row>
    <row r="21" spans="1:20" ht="15.6" customHeight="1" x14ac:dyDescent="0.3">
      <c r="A21" s="19" t="s">
        <v>301</v>
      </c>
      <c r="B21" s="5" t="s">
        <v>15</v>
      </c>
      <c r="C21" s="5">
        <v>39.352609999999999</v>
      </c>
      <c r="D21" s="5">
        <v>-8.9954339999999995</v>
      </c>
      <c r="E21" s="5" t="s">
        <v>312</v>
      </c>
      <c r="F21" s="5" t="s">
        <v>24</v>
      </c>
      <c r="G21" s="5" t="s">
        <v>493</v>
      </c>
      <c r="H21" s="5" t="s">
        <v>313</v>
      </c>
      <c r="I21" s="5" t="s">
        <v>495</v>
      </c>
      <c r="J21" s="5" t="s">
        <v>494</v>
      </c>
      <c r="K21" s="5" t="s">
        <v>494</v>
      </c>
      <c r="L21" s="37" t="s">
        <v>460</v>
      </c>
      <c r="M21" s="5" t="s">
        <v>48</v>
      </c>
      <c r="N21" s="4"/>
      <c r="O21" s="46">
        <v>869</v>
      </c>
      <c r="P21">
        <v>26</v>
      </c>
      <c r="Q21">
        <v>4</v>
      </c>
      <c r="S21" t="s">
        <v>629</v>
      </c>
      <c r="T21" s="40" t="s">
        <v>398</v>
      </c>
    </row>
    <row r="22" spans="1:20" ht="18.600000000000001" customHeight="1" x14ac:dyDescent="0.3">
      <c r="A22" s="19" t="s">
        <v>49</v>
      </c>
      <c r="B22" s="5" t="s">
        <v>15</v>
      </c>
      <c r="C22" s="5">
        <v>39.610011</v>
      </c>
      <c r="D22" s="5">
        <v>-8.4141750000000002</v>
      </c>
      <c r="E22" s="5" t="s">
        <v>170</v>
      </c>
      <c r="F22" s="5" t="s">
        <v>6</v>
      </c>
      <c r="G22" s="5" t="s">
        <v>493</v>
      </c>
      <c r="H22" s="5" t="s">
        <v>313</v>
      </c>
      <c r="I22" s="5" t="s">
        <v>495</v>
      </c>
      <c r="J22" s="5" t="s">
        <v>494</v>
      </c>
      <c r="K22" s="5" t="s">
        <v>493</v>
      </c>
      <c r="L22" s="37" t="s">
        <v>459</v>
      </c>
      <c r="M22" s="5" t="s">
        <v>363</v>
      </c>
      <c r="N22" s="4"/>
      <c r="O22" s="39" t="s">
        <v>394</v>
      </c>
      <c r="P22" s="4" t="s">
        <v>507</v>
      </c>
      <c r="Q22" s="4" t="s">
        <v>507</v>
      </c>
      <c r="R22" s="4" t="s">
        <v>507</v>
      </c>
      <c r="S22" s="4" t="s">
        <v>391</v>
      </c>
      <c r="T22" s="40" t="s">
        <v>633</v>
      </c>
    </row>
    <row r="23" spans="1:20" ht="17.399999999999999" customHeight="1" x14ac:dyDescent="0.3">
      <c r="A23" s="19" t="s">
        <v>50</v>
      </c>
      <c r="B23" s="5" t="s">
        <v>23</v>
      </c>
      <c r="C23" s="5">
        <v>38.471193999999997</v>
      </c>
      <c r="D23" s="5">
        <v>-8.9857189999999996</v>
      </c>
      <c r="E23" s="5" t="s">
        <v>310</v>
      </c>
      <c r="F23" s="5" t="s">
        <v>6</v>
      </c>
      <c r="G23" s="5" t="s">
        <v>494</v>
      </c>
      <c r="H23" s="5" t="s">
        <v>543</v>
      </c>
      <c r="I23" s="5" t="s">
        <v>495</v>
      </c>
      <c r="J23" s="5" t="s">
        <v>494</v>
      </c>
      <c r="K23" s="5" t="s">
        <v>494</v>
      </c>
      <c r="L23" s="37" t="s">
        <v>463</v>
      </c>
      <c r="M23" s="5" t="s">
        <v>634</v>
      </c>
      <c r="N23" s="4"/>
      <c r="O23" s="39">
        <v>161</v>
      </c>
      <c r="P23">
        <v>3572</v>
      </c>
      <c r="Q23">
        <v>107</v>
      </c>
      <c r="R23">
        <v>108</v>
      </c>
      <c r="S23" t="s">
        <v>631</v>
      </c>
      <c r="T23" s="40" t="s">
        <v>635</v>
      </c>
    </row>
    <row r="24" spans="1:20" ht="16.2" customHeight="1" x14ac:dyDescent="0.3">
      <c r="A24" s="19" t="s">
        <v>51</v>
      </c>
      <c r="B24" s="5" t="s">
        <v>15</v>
      </c>
      <c r="C24" s="5">
        <v>39.477682999999999</v>
      </c>
      <c r="D24" s="5">
        <v>-8.5018960000000003</v>
      </c>
      <c r="E24" s="5" t="s">
        <v>52</v>
      </c>
      <c r="F24" s="5" t="s">
        <v>24</v>
      </c>
      <c r="G24" s="5" t="s">
        <v>494</v>
      </c>
      <c r="H24" s="5" t="s">
        <v>544</v>
      </c>
      <c r="I24" s="5" t="s">
        <v>495</v>
      </c>
      <c r="J24" s="5" t="s">
        <v>494</v>
      </c>
      <c r="K24" s="5" t="s">
        <v>291</v>
      </c>
      <c r="L24" s="37" t="s">
        <v>459</v>
      </c>
      <c r="M24" s="5" t="s">
        <v>53</v>
      </c>
      <c r="N24" s="4"/>
      <c r="O24" s="46">
        <v>12698</v>
      </c>
      <c r="P24" s="47">
        <v>1765</v>
      </c>
      <c r="Q24" s="47">
        <v>1161</v>
      </c>
      <c r="R24">
        <v>49</v>
      </c>
      <c r="S24" t="s">
        <v>629</v>
      </c>
    </row>
    <row r="25" spans="1:20" s="52" customFormat="1" ht="15.6" customHeight="1" x14ac:dyDescent="0.3">
      <c r="A25" s="20" t="s">
        <v>54</v>
      </c>
      <c r="B25" s="6" t="s">
        <v>55</v>
      </c>
      <c r="C25" s="6">
        <v>39.649791999999998</v>
      </c>
      <c r="D25" s="6">
        <v>-7.6703049999999999</v>
      </c>
      <c r="E25" s="6" t="s">
        <v>171</v>
      </c>
      <c r="F25" s="6" t="s">
        <v>6</v>
      </c>
      <c r="G25" s="6" t="s">
        <v>494</v>
      </c>
      <c r="H25" s="6" t="s">
        <v>549</v>
      </c>
      <c r="I25" s="6" t="s">
        <v>495</v>
      </c>
      <c r="J25" s="6" t="s">
        <v>494</v>
      </c>
      <c r="K25" s="6" t="s">
        <v>494</v>
      </c>
      <c r="L25" s="37" t="s">
        <v>459</v>
      </c>
      <c r="M25" s="6" t="s">
        <v>295</v>
      </c>
      <c r="N25" s="50"/>
      <c r="O25" s="68">
        <v>0</v>
      </c>
      <c r="P25" s="67">
        <v>0.3</v>
      </c>
      <c r="Q25" s="67">
        <v>0.66</v>
      </c>
      <c r="R25" s="67"/>
      <c r="S25" s="52" t="s">
        <v>636</v>
      </c>
      <c r="T25" s="53" t="s">
        <v>637</v>
      </c>
    </row>
    <row r="26" spans="1:20" ht="16.2" customHeight="1" x14ac:dyDescent="0.3">
      <c r="A26" s="19" t="s">
        <v>56</v>
      </c>
      <c r="B26" s="5" t="s">
        <v>23</v>
      </c>
      <c r="C26" s="5">
        <v>39.356082000000001</v>
      </c>
      <c r="D26" s="5">
        <v>-9.4008120000000002</v>
      </c>
      <c r="E26" s="54">
        <v>5</v>
      </c>
      <c r="F26" s="5" t="s">
        <v>6</v>
      </c>
      <c r="G26" s="5" t="s">
        <v>493</v>
      </c>
      <c r="H26" s="5" t="s">
        <v>313</v>
      </c>
      <c r="I26" s="5" t="s">
        <v>495</v>
      </c>
      <c r="J26" s="5" t="s">
        <v>494</v>
      </c>
      <c r="K26" s="5" t="s">
        <v>494</v>
      </c>
      <c r="L26" s="37" t="s">
        <v>463</v>
      </c>
      <c r="M26" s="5" t="s">
        <v>57</v>
      </c>
      <c r="N26" s="4"/>
      <c r="O26" s="39">
        <v>298</v>
      </c>
      <c r="P26">
        <v>63</v>
      </c>
      <c r="Q26">
        <v>24</v>
      </c>
      <c r="R26">
        <v>6</v>
      </c>
      <c r="S26" t="s">
        <v>638</v>
      </c>
    </row>
    <row r="27" spans="1:20" ht="18" customHeight="1" x14ac:dyDescent="0.3">
      <c r="A27" s="19" t="s">
        <v>56</v>
      </c>
      <c r="B27" s="5" t="s">
        <v>23</v>
      </c>
      <c r="C27" s="5">
        <v>39.356082000000001</v>
      </c>
      <c r="D27" s="5">
        <v>-9.4008120000000002</v>
      </c>
      <c r="E27" s="5" t="s">
        <v>172</v>
      </c>
      <c r="F27" s="5" t="s">
        <v>24</v>
      </c>
      <c r="G27" s="5" t="s">
        <v>493</v>
      </c>
      <c r="H27" s="5" t="s">
        <v>313</v>
      </c>
      <c r="I27" s="5" t="s">
        <v>495</v>
      </c>
      <c r="J27" s="5" t="s">
        <v>494</v>
      </c>
      <c r="K27" s="5" t="s">
        <v>494</v>
      </c>
      <c r="L27" s="37" t="s">
        <v>463</v>
      </c>
      <c r="M27" s="5" t="s">
        <v>57</v>
      </c>
      <c r="N27" s="4"/>
      <c r="O27" s="39">
        <v>24</v>
      </c>
      <c r="P27">
        <v>0</v>
      </c>
      <c r="Q27">
        <v>0</v>
      </c>
      <c r="R27">
        <v>1</v>
      </c>
      <c r="S27" t="s">
        <v>638</v>
      </c>
    </row>
    <row r="28" spans="1:20" ht="16.2" customHeight="1" x14ac:dyDescent="0.3">
      <c r="A28" s="19" t="s">
        <v>56</v>
      </c>
      <c r="B28" s="5" t="s">
        <v>23</v>
      </c>
      <c r="C28" s="5">
        <v>39.356082000000001</v>
      </c>
      <c r="D28" s="5">
        <v>-9.4008120000000002</v>
      </c>
      <c r="E28" s="5" t="s">
        <v>315</v>
      </c>
      <c r="F28" s="5" t="s">
        <v>19</v>
      </c>
      <c r="G28" s="5" t="s">
        <v>493</v>
      </c>
      <c r="H28" s="5" t="s">
        <v>313</v>
      </c>
      <c r="I28" s="5" t="s">
        <v>495</v>
      </c>
      <c r="J28" s="5" t="s">
        <v>7</v>
      </c>
      <c r="K28" s="5" t="s">
        <v>494</v>
      </c>
      <c r="L28" s="37" t="s">
        <v>463</v>
      </c>
      <c r="M28" s="5" t="s">
        <v>58</v>
      </c>
      <c r="N28" s="4"/>
      <c r="O28" s="39">
        <v>9</v>
      </c>
      <c r="P28">
        <v>0</v>
      </c>
      <c r="Q28">
        <v>0</v>
      </c>
      <c r="R28">
        <v>0</v>
      </c>
      <c r="S28" t="s">
        <v>638</v>
      </c>
    </row>
    <row r="29" spans="1:20" ht="15" customHeight="1" x14ac:dyDescent="0.3">
      <c r="A29" s="19" t="s">
        <v>59</v>
      </c>
      <c r="B29" s="5" t="s">
        <v>23</v>
      </c>
      <c r="C29" s="5">
        <v>39.505330999999998</v>
      </c>
      <c r="D29" s="5">
        <v>-8.6152789999999992</v>
      </c>
      <c r="E29" s="5" t="s">
        <v>320</v>
      </c>
      <c r="F29" s="5" t="s">
        <v>6</v>
      </c>
      <c r="G29" s="5" t="s">
        <v>494</v>
      </c>
      <c r="H29" s="5" t="s">
        <v>546</v>
      </c>
      <c r="I29" s="5" t="s">
        <v>495</v>
      </c>
      <c r="J29" s="5" t="s">
        <v>494</v>
      </c>
      <c r="K29" s="5" t="s">
        <v>494</v>
      </c>
      <c r="L29" s="37" t="s">
        <v>460</v>
      </c>
      <c r="M29" s="5" t="s">
        <v>321</v>
      </c>
      <c r="N29" s="4"/>
      <c r="O29" s="69">
        <v>0.13120000000000001</v>
      </c>
      <c r="P29" s="70">
        <v>0.52149999999999996</v>
      </c>
      <c r="Q29" s="70">
        <v>0.44019999999999998</v>
      </c>
      <c r="R29" s="70">
        <v>6.7000000000000002E-3</v>
      </c>
      <c r="S29" t="s">
        <v>639</v>
      </c>
      <c r="T29" s="40" t="s">
        <v>640</v>
      </c>
    </row>
    <row r="30" spans="1:20" ht="16.2" customHeight="1" x14ac:dyDescent="0.3">
      <c r="A30" s="19" t="s">
        <v>60</v>
      </c>
      <c r="B30" s="5" t="s">
        <v>15</v>
      </c>
      <c r="C30" s="5">
        <v>39.335690999999997</v>
      </c>
      <c r="D30" s="5">
        <v>-8.930275</v>
      </c>
      <c r="E30" s="5" t="s">
        <v>173</v>
      </c>
      <c r="F30" s="5" t="s">
        <v>24</v>
      </c>
      <c r="G30" s="5" t="s">
        <v>494</v>
      </c>
      <c r="H30" s="5" t="s">
        <v>548</v>
      </c>
      <c r="I30" s="5" t="s">
        <v>495</v>
      </c>
      <c r="J30" s="5" t="s">
        <v>494</v>
      </c>
      <c r="K30" s="5" t="s">
        <v>493</v>
      </c>
      <c r="L30" s="37" t="s">
        <v>459</v>
      </c>
      <c r="M30" s="5" t="s">
        <v>400</v>
      </c>
      <c r="N30" s="4" t="s">
        <v>401</v>
      </c>
      <c r="O30" s="46">
        <v>603</v>
      </c>
      <c r="P30" s="47">
        <v>494</v>
      </c>
      <c r="Q30" s="47">
        <v>65</v>
      </c>
      <c r="R30" s="47">
        <v>0</v>
      </c>
      <c r="S30" t="s">
        <v>388</v>
      </c>
    </row>
    <row r="31" spans="1:20" x14ac:dyDescent="0.3">
      <c r="A31" s="19" t="s">
        <v>641</v>
      </c>
      <c r="B31" s="5" t="s">
        <v>15</v>
      </c>
      <c r="C31" s="5">
        <v>37.992100000000001</v>
      </c>
      <c r="D31" s="5">
        <v>-8.2592999999999996</v>
      </c>
      <c r="E31" s="5" t="s">
        <v>157</v>
      </c>
      <c r="F31" s="5" t="s">
        <v>6</v>
      </c>
      <c r="G31" s="5" t="s">
        <v>494</v>
      </c>
      <c r="H31" s="5" t="s">
        <v>547</v>
      </c>
      <c r="I31" s="5" t="s">
        <v>497</v>
      </c>
      <c r="J31" s="5" t="s">
        <v>494</v>
      </c>
      <c r="K31" s="5" t="s">
        <v>493</v>
      </c>
      <c r="L31" s="37" t="s">
        <v>459</v>
      </c>
      <c r="M31" s="5" t="s">
        <v>158</v>
      </c>
      <c r="N31" s="4"/>
      <c r="O31" s="39">
        <v>0</v>
      </c>
      <c r="P31">
        <v>21</v>
      </c>
      <c r="Q31">
        <v>0</v>
      </c>
      <c r="R31">
        <v>124</v>
      </c>
      <c r="S31" t="s">
        <v>642</v>
      </c>
      <c r="T31" s="40" t="s">
        <v>643</v>
      </c>
    </row>
    <row r="32" spans="1:20" ht="18" customHeight="1" x14ac:dyDescent="0.3">
      <c r="A32" s="19" t="s">
        <v>70</v>
      </c>
      <c r="B32" s="5" t="s">
        <v>23</v>
      </c>
      <c r="C32" s="5">
        <v>39.324385999999997</v>
      </c>
      <c r="D32" s="5">
        <v>-9.2548030000000008</v>
      </c>
      <c r="E32" s="5" t="s">
        <v>61</v>
      </c>
      <c r="F32" s="5" t="s">
        <v>24</v>
      </c>
      <c r="G32" s="5" t="s">
        <v>494</v>
      </c>
      <c r="H32" s="5" t="s">
        <v>402</v>
      </c>
      <c r="I32" s="5" t="s">
        <v>508</v>
      </c>
      <c r="J32" s="5" t="s">
        <v>493</v>
      </c>
      <c r="K32" s="5" t="s">
        <v>494</v>
      </c>
      <c r="L32" s="37" t="s">
        <v>464</v>
      </c>
      <c r="M32" s="5" t="s">
        <v>62</v>
      </c>
      <c r="N32" s="4"/>
      <c r="O32" s="41" t="s">
        <v>394</v>
      </c>
      <c r="P32" s="4" t="s">
        <v>500</v>
      </c>
      <c r="Q32" s="4" t="s">
        <v>500</v>
      </c>
      <c r="R32" t="s">
        <v>500</v>
      </c>
      <c r="S32" s="4" t="s">
        <v>48</v>
      </c>
    </row>
    <row r="33" spans="1:20" ht="18" customHeight="1" x14ac:dyDescent="0.3">
      <c r="A33" s="19" t="s">
        <v>63</v>
      </c>
      <c r="B33" s="5" t="s">
        <v>23</v>
      </c>
      <c r="C33" s="5">
        <v>37.152886000000002</v>
      </c>
      <c r="D33" s="5">
        <v>-8.523358</v>
      </c>
      <c r="E33" s="5" t="s">
        <v>165</v>
      </c>
      <c r="F33" s="5" t="s">
        <v>6</v>
      </c>
      <c r="G33" s="5" t="s">
        <v>493</v>
      </c>
      <c r="H33" s="5" t="s">
        <v>313</v>
      </c>
      <c r="I33" s="5" t="s">
        <v>504</v>
      </c>
      <c r="J33" s="5" t="s">
        <v>493</v>
      </c>
      <c r="K33" s="5" t="s">
        <v>494</v>
      </c>
      <c r="L33" s="37" t="s">
        <v>463</v>
      </c>
      <c r="M33" s="5" t="s">
        <v>64</v>
      </c>
      <c r="N33" s="4"/>
      <c r="O33" s="39" t="s">
        <v>507</v>
      </c>
      <c r="P33" s="4" t="s">
        <v>507</v>
      </c>
      <c r="R33" s="4" t="s">
        <v>628</v>
      </c>
      <c r="S33" t="s">
        <v>645</v>
      </c>
      <c r="T33" s="40" t="s">
        <v>644</v>
      </c>
    </row>
    <row r="34" spans="1:20" ht="19.2" customHeight="1" x14ac:dyDescent="0.3">
      <c r="A34" s="19" t="s">
        <v>65</v>
      </c>
      <c r="B34" s="5" t="s">
        <v>23</v>
      </c>
      <c r="C34" s="5">
        <v>39.504589000000003</v>
      </c>
      <c r="D34" s="5">
        <v>-8.6160759999999996</v>
      </c>
      <c r="E34" s="5" t="s">
        <v>174</v>
      </c>
      <c r="F34" s="5" t="s">
        <v>6</v>
      </c>
      <c r="G34" s="5" t="s">
        <v>494</v>
      </c>
      <c r="H34" s="5" t="s">
        <v>492</v>
      </c>
      <c r="I34" s="5" t="s">
        <v>495</v>
      </c>
      <c r="J34" s="5" t="s">
        <v>494</v>
      </c>
      <c r="K34" s="5" t="s">
        <v>494</v>
      </c>
      <c r="L34" s="37" t="s">
        <v>460</v>
      </c>
      <c r="M34" s="5" t="s">
        <v>66</v>
      </c>
      <c r="N34" s="4"/>
      <c r="O34" s="39">
        <v>71</v>
      </c>
      <c r="P34">
        <v>21</v>
      </c>
      <c r="Q34">
        <v>108</v>
      </c>
      <c r="R34">
        <v>1</v>
      </c>
      <c r="S34" t="s">
        <v>490</v>
      </c>
      <c r="T34" s="40" t="s">
        <v>491</v>
      </c>
    </row>
    <row r="35" spans="1:20" ht="18" customHeight="1" x14ac:dyDescent="0.3">
      <c r="A35" s="20" t="s">
        <v>67</v>
      </c>
      <c r="B35" s="5" t="s">
        <v>23</v>
      </c>
      <c r="C35" s="5">
        <v>39.297908999999997</v>
      </c>
      <c r="D35" s="5">
        <v>-9.2002269999999999</v>
      </c>
      <c r="E35" s="5" t="s">
        <v>68</v>
      </c>
      <c r="F35" s="5" t="s">
        <v>6</v>
      </c>
      <c r="G35" s="5" t="s">
        <v>494</v>
      </c>
      <c r="H35" s="5" t="s">
        <v>552</v>
      </c>
      <c r="I35" s="5" t="s">
        <v>495</v>
      </c>
      <c r="J35" s="5" t="s">
        <v>494</v>
      </c>
      <c r="K35" s="5" t="s">
        <v>494</v>
      </c>
      <c r="L35" s="37" t="s">
        <v>459</v>
      </c>
      <c r="M35" s="5" t="s">
        <v>69</v>
      </c>
      <c r="N35" s="4"/>
      <c r="O35" s="43">
        <v>0.32</v>
      </c>
      <c r="P35" s="70">
        <v>0.40029999999999999</v>
      </c>
      <c r="Q35" s="70">
        <v>0.2792</v>
      </c>
      <c r="R35" s="70">
        <v>1E-3</v>
      </c>
      <c r="S35" t="s">
        <v>647</v>
      </c>
      <c r="T35" s="40" t="s">
        <v>646</v>
      </c>
    </row>
    <row r="36" spans="1:20" ht="18" customHeight="1" x14ac:dyDescent="0.3">
      <c r="A36" s="19" t="s">
        <v>71</v>
      </c>
      <c r="B36" s="5" t="s">
        <v>23</v>
      </c>
      <c r="C36" s="5">
        <v>38.875754999999998</v>
      </c>
      <c r="D36" s="5">
        <v>-9.2033930000000002</v>
      </c>
      <c r="E36" s="5" t="s">
        <v>481</v>
      </c>
      <c r="F36" s="5" t="s">
        <v>6</v>
      </c>
      <c r="G36" s="5" t="s">
        <v>494</v>
      </c>
      <c r="H36" s="5" t="s">
        <v>553</v>
      </c>
      <c r="I36" s="5" t="s">
        <v>512</v>
      </c>
      <c r="J36" s="5" t="s">
        <v>494</v>
      </c>
      <c r="K36" s="5" t="s">
        <v>494</v>
      </c>
      <c r="L36" s="37" t="s">
        <v>462</v>
      </c>
      <c r="M36" s="5" t="s">
        <v>82</v>
      </c>
      <c r="N36" s="4"/>
      <c r="O36" s="41" t="s">
        <v>392</v>
      </c>
      <c r="P36" t="s">
        <v>399</v>
      </c>
      <c r="Q36" t="s">
        <v>399</v>
      </c>
      <c r="R36" t="s">
        <v>399</v>
      </c>
      <c r="S36" t="s">
        <v>393</v>
      </c>
      <c r="T36" s="40" t="s">
        <v>482</v>
      </c>
    </row>
    <row r="37" spans="1:20" ht="16.8" customHeight="1" x14ac:dyDescent="0.3">
      <c r="A37" s="19" t="s">
        <v>71</v>
      </c>
      <c r="B37" s="5" t="s">
        <v>23</v>
      </c>
      <c r="C37" s="5">
        <v>38.875754999999998</v>
      </c>
      <c r="D37" s="5">
        <v>-9.2033930000000002</v>
      </c>
      <c r="E37" s="5" t="s">
        <v>480</v>
      </c>
      <c r="F37" s="5" t="s">
        <v>35</v>
      </c>
      <c r="G37" s="5" t="s">
        <v>493</v>
      </c>
      <c r="H37" s="55" t="s">
        <v>313</v>
      </c>
      <c r="I37" s="5" t="s">
        <v>512</v>
      </c>
      <c r="J37" s="5" t="s">
        <v>494</v>
      </c>
      <c r="K37" s="5" t="s">
        <v>493</v>
      </c>
      <c r="L37" s="37" t="s">
        <v>462</v>
      </c>
      <c r="M37" s="5" t="s">
        <v>403</v>
      </c>
      <c r="N37" s="4"/>
      <c r="O37" s="41">
        <v>3</v>
      </c>
      <c r="P37" s="4">
        <v>0</v>
      </c>
      <c r="Q37" s="4">
        <v>0</v>
      </c>
      <c r="R37">
        <v>0</v>
      </c>
      <c r="S37" s="4" t="s">
        <v>48</v>
      </c>
    </row>
    <row r="38" spans="1:20" ht="16.8" customHeight="1" x14ac:dyDescent="0.3">
      <c r="A38" s="19" t="s">
        <v>71</v>
      </c>
      <c r="B38" s="5" t="s">
        <v>23</v>
      </c>
      <c r="C38" s="5">
        <v>38.875754999999998</v>
      </c>
      <c r="D38" s="5">
        <v>-9.2033930000000002</v>
      </c>
      <c r="E38" s="5" t="s">
        <v>73</v>
      </c>
      <c r="F38" s="5" t="s">
        <v>24</v>
      </c>
      <c r="G38" s="5" t="s">
        <v>493</v>
      </c>
      <c r="H38" s="5" t="s">
        <v>313</v>
      </c>
      <c r="I38" s="5" t="s">
        <v>508</v>
      </c>
      <c r="J38" s="5" t="s">
        <v>494</v>
      </c>
      <c r="K38" s="5" t="s">
        <v>494</v>
      </c>
      <c r="L38" s="37" t="s">
        <v>462</v>
      </c>
      <c r="M38" s="5" t="s">
        <v>403</v>
      </c>
      <c r="N38" s="4"/>
      <c r="O38" s="39">
        <v>84</v>
      </c>
      <c r="P38">
        <v>6</v>
      </c>
      <c r="Q38">
        <v>0</v>
      </c>
      <c r="R38">
        <v>3</v>
      </c>
      <c r="S38" t="s">
        <v>48</v>
      </c>
      <c r="T38" s="40" t="s">
        <v>404</v>
      </c>
    </row>
    <row r="39" spans="1:20" ht="17.399999999999999" customHeight="1" x14ac:dyDescent="0.3">
      <c r="A39" s="19" t="s">
        <v>71</v>
      </c>
      <c r="B39" s="5" t="s">
        <v>23</v>
      </c>
      <c r="C39" s="5">
        <v>38.875754999999998</v>
      </c>
      <c r="D39" s="5">
        <v>-9.2033930000000002</v>
      </c>
      <c r="E39" s="5" t="s">
        <v>488</v>
      </c>
      <c r="F39" s="5" t="s">
        <v>19</v>
      </c>
      <c r="G39" s="5" t="s">
        <v>494</v>
      </c>
      <c r="H39" s="5" t="s">
        <v>554</v>
      </c>
      <c r="I39" s="5" t="s">
        <v>508</v>
      </c>
      <c r="J39" s="5" t="s">
        <v>494</v>
      </c>
      <c r="K39" s="5" t="s">
        <v>494</v>
      </c>
      <c r="L39" s="37" t="s">
        <v>462</v>
      </c>
      <c r="M39" s="5" t="s">
        <v>403</v>
      </c>
      <c r="N39" s="4"/>
      <c r="O39" s="41">
        <v>220</v>
      </c>
      <c r="P39">
        <v>10</v>
      </c>
      <c r="Q39">
        <v>0</v>
      </c>
      <c r="R39">
        <v>10</v>
      </c>
      <c r="S39" t="s">
        <v>48</v>
      </c>
    </row>
    <row r="40" spans="1:20" ht="18" customHeight="1" x14ac:dyDescent="0.3">
      <c r="A40" s="19" t="s">
        <v>74</v>
      </c>
      <c r="B40" s="5" t="s">
        <v>23</v>
      </c>
      <c r="C40" s="5">
        <v>37.156103000000002</v>
      </c>
      <c r="D40" s="5">
        <v>-8.5000750000000007</v>
      </c>
      <c r="E40" s="5" t="s">
        <v>75</v>
      </c>
      <c r="F40" s="5" t="s">
        <v>6</v>
      </c>
      <c r="G40" s="5" t="s">
        <v>493</v>
      </c>
      <c r="H40" s="5" t="s">
        <v>313</v>
      </c>
      <c r="I40" s="5" t="s">
        <v>513</v>
      </c>
      <c r="J40" s="5" t="s">
        <v>493</v>
      </c>
      <c r="K40" s="5" t="s">
        <v>494</v>
      </c>
      <c r="L40" s="37" t="s">
        <v>463</v>
      </c>
      <c r="M40" s="5" t="s">
        <v>923</v>
      </c>
      <c r="N40" s="4"/>
      <c r="O40" s="74" t="s">
        <v>507</v>
      </c>
      <c r="P40" s="71" t="s">
        <v>394</v>
      </c>
      <c r="Q40" s="71" t="s">
        <v>507</v>
      </c>
      <c r="R40" s="71" t="s">
        <v>628</v>
      </c>
      <c r="S40" s="71" t="s">
        <v>632</v>
      </c>
      <c r="T40" s="73" t="s">
        <v>648</v>
      </c>
    </row>
    <row r="41" spans="1:20" ht="17.399999999999999" customHeight="1" x14ac:dyDescent="0.3">
      <c r="A41" s="19" t="s">
        <v>535</v>
      </c>
      <c r="B41" s="5" t="s">
        <v>23</v>
      </c>
      <c r="C41" s="5">
        <v>39.385399999999997</v>
      </c>
      <c r="D41" s="5">
        <v>-8.4156370000000003</v>
      </c>
      <c r="E41" s="5" t="s">
        <v>406</v>
      </c>
      <c r="F41" s="5" t="s">
        <v>6</v>
      </c>
      <c r="G41" s="5" t="s">
        <v>494</v>
      </c>
      <c r="H41" s="5" t="s">
        <v>555</v>
      </c>
      <c r="I41" s="5" t="s">
        <v>495</v>
      </c>
      <c r="J41" s="5" t="s">
        <v>494</v>
      </c>
      <c r="K41" s="5" t="s">
        <v>494</v>
      </c>
      <c r="L41" s="37" t="s">
        <v>460</v>
      </c>
      <c r="M41" s="5" t="s">
        <v>77</v>
      </c>
      <c r="N41" s="4"/>
      <c r="O41" s="39">
        <v>13</v>
      </c>
      <c r="P41">
        <v>35</v>
      </c>
      <c r="Q41">
        <v>49</v>
      </c>
      <c r="S41" t="s">
        <v>388</v>
      </c>
    </row>
    <row r="42" spans="1:20" ht="19.8" customHeight="1" x14ac:dyDescent="0.3">
      <c r="A42" s="19" t="s">
        <v>535</v>
      </c>
      <c r="B42" s="5" t="s">
        <v>23</v>
      </c>
      <c r="C42" s="5">
        <v>39.385399999999997</v>
      </c>
      <c r="D42" s="5">
        <v>-8.4156370000000003</v>
      </c>
      <c r="E42" s="5" t="s">
        <v>405</v>
      </c>
      <c r="F42" s="5" t="s">
        <v>24</v>
      </c>
      <c r="G42" s="5" t="s">
        <v>494</v>
      </c>
      <c r="H42" s="5" t="s">
        <v>556</v>
      </c>
      <c r="I42" s="5" t="s">
        <v>495</v>
      </c>
      <c r="J42" s="5" t="s">
        <v>494</v>
      </c>
      <c r="K42" s="5" t="s">
        <v>494</v>
      </c>
      <c r="L42" s="37" t="s">
        <v>460</v>
      </c>
      <c r="M42" s="5" t="s">
        <v>78</v>
      </c>
      <c r="N42" s="4"/>
      <c r="O42" s="39">
        <v>60</v>
      </c>
      <c r="P42">
        <v>36</v>
      </c>
      <c r="Q42">
        <v>71</v>
      </c>
      <c r="S42" t="s">
        <v>388</v>
      </c>
    </row>
    <row r="43" spans="1:20" ht="18" customHeight="1" x14ac:dyDescent="0.3">
      <c r="A43" s="19" t="s">
        <v>535</v>
      </c>
      <c r="B43" s="5" t="s">
        <v>23</v>
      </c>
      <c r="C43" s="5">
        <v>39.385399999999997</v>
      </c>
      <c r="D43" s="5">
        <v>-8.4156370000000003</v>
      </c>
      <c r="E43" s="5" t="s">
        <v>407</v>
      </c>
      <c r="F43" s="5" t="s">
        <v>19</v>
      </c>
      <c r="G43" s="5" t="s">
        <v>494</v>
      </c>
      <c r="H43" s="5" t="s">
        <v>557</v>
      </c>
      <c r="I43" s="5" t="s">
        <v>495</v>
      </c>
      <c r="J43" s="5" t="s">
        <v>494</v>
      </c>
      <c r="K43" s="5" t="s">
        <v>494</v>
      </c>
      <c r="L43" s="37" t="s">
        <v>460</v>
      </c>
      <c r="M43" s="5" t="s">
        <v>78</v>
      </c>
      <c r="N43" s="4"/>
      <c r="O43" s="39">
        <v>23</v>
      </c>
      <c r="P43">
        <v>8</v>
      </c>
      <c r="Q43">
        <v>24</v>
      </c>
      <c r="S43" t="s">
        <v>388</v>
      </c>
      <c r="T43" s="40" t="s">
        <v>408</v>
      </c>
    </row>
    <row r="44" spans="1:20" ht="16.8" customHeight="1" x14ac:dyDescent="0.3">
      <c r="A44" s="19" t="s">
        <v>536</v>
      </c>
      <c r="B44" s="5" t="s">
        <v>23</v>
      </c>
      <c r="C44" s="5">
        <v>38.826740000000001</v>
      </c>
      <c r="D44" s="5">
        <v>-9.1871589999999994</v>
      </c>
      <c r="E44" s="5" t="s">
        <v>72</v>
      </c>
      <c r="F44" s="5" t="s">
        <v>6</v>
      </c>
      <c r="G44" s="5" t="s">
        <v>493</v>
      </c>
      <c r="H44" s="5" t="s">
        <v>313</v>
      </c>
      <c r="I44" s="5" t="s">
        <v>512</v>
      </c>
      <c r="J44" s="5" t="s">
        <v>493</v>
      </c>
      <c r="K44" s="5" t="s">
        <v>493</v>
      </c>
      <c r="L44" s="37" t="s">
        <v>459</v>
      </c>
      <c r="M44" s="5" t="s">
        <v>365</v>
      </c>
      <c r="N44" s="4"/>
      <c r="O44" s="39">
        <v>549</v>
      </c>
      <c r="P44">
        <v>48</v>
      </c>
      <c r="Q44">
        <v>8</v>
      </c>
      <c r="R44">
        <v>0</v>
      </c>
      <c r="S44" t="s">
        <v>649</v>
      </c>
    </row>
    <row r="45" spans="1:20" ht="15" customHeight="1" x14ac:dyDescent="0.3">
      <c r="A45" s="19" t="s">
        <v>536</v>
      </c>
      <c r="B45" s="5" t="s">
        <v>23</v>
      </c>
      <c r="C45" s="5">
        <v>38.826740000000001</v>
      </c>
      <c r="D45" s="5">
        <v>-9.1871589999999994</v>
      </c>
      <c r="E45" s="5" t="s">
        <v>80</v>
      </c>
      <c r="F45" s="5" t="s">
        <v>19</v>
      </c>
      <c r="G45" s="5" t="s">
        <v>493</v>
      </c>
      <c r="H45" s="5" t="s">
        <v>313</v>
      </c>
      <c r="I45" s="5" t="s">
        <v>512</v>
      </c>
      <c r="J45" s="5" t="s">
        <v>494</v>
      </c>
      <c r="K45" s="5" t="s">
        <v>494</v>
      </c>
      <c r="L45" s="37" t="s">
        <v>459</v>
      </c>
      <c r="M45" s="5" t="s">
        <v>365</v>
      </c>
      <c r="N45" s="4"/>
      <c r="O45" s="39">
        <v>132</v>
      </c>
      <c r="P45">
        <v>60</v>
      </c>
      <c r="Q45">
        <v>18</v>
      </c>
      <c r="R45">
        <v>2</v>
      </c>
      <c r="S45" t="s">
        <v>649</v>
      </c>
    </row>
    <row r="46" spans="1:20" ht="17.399999999999999" customHeight="1" x14ac:dyDescent="0.3">
      <c r="A46" s="19" t="s">
        <v>81</v>
      </c>
      <c r="B46" s="5" t="s">
        <v>23</v>
      </c>
      <c r="C46" s="5">
        <v>38.543540999999998</v>
      </c>
      <c r="D46" s="5">
        <v>-8.1376559999999998</v>
      </c>
      <c r="E46" s="5" t="s">
        <v>187</v>
      </c>
      <c r="F46" s="5" t="s">
        <v>6</v>
      </c>
      <c r="G46" s="5" t="s">
        <v>494</v>
      </c>
      <c r="H46" s="5" t="s">
        <v>558</v>
      </c>
      <c r="I46" s="5" t="s">
        <v>495</v>
      </c>
      <c r="J46" s="5" t="s">
        <v>494</v>
      </c>
      <c r="K46" s="5" t="s">
        <v>494</v>
      </c>
      <c r="L46" s="37" t="s">
        <v>465</v>
      </c>
      <c r="M46" s="5" t="s">
        <v>478</v>
      </c>
      <c r="N46" s="4"/>
      <c r="O46" s="39">
        <v>10</v>
      </c>
      <c r="P46">
        <v>3150</v>
      </c>
      <c r="Q46">
        <v>9</v>
      </c>
      <c r="R46">
        <v>4</v>
      </c>
      <c r="S46" t="s">
        <v>737</v>
      </c>
    </row>
    <row r="47" spans="1:20" ht="17.399999999999999" customHeight="1" x14ac:dyDescent="0.3">
      <c r="A47" s="19" t="s">
        <v>81</v>
      </c>
      <c r="B47" s="5" t="s">
        <v>23</v>
      </c>
      <c r="C47" s="5">
        <v>38.543540999999998</v>
      </c>
      <c r="D47" s="5">
        <v>-8.1376559999999998</v>
      </c>
      <c r="E47" s="5" t="s">
        <v>479</v>
      </c>
      <c r="F47" s="5" t="s">
        <v>35</v>
      </c>
      <c r="G47" s="5" t="s">
        <v>493</v>
      </c>
      <c r="H47" s="5" t="s">
        <v>313</v>
      </c>
      <c r="I47" s="5" t="s">
        <v>512</v>
      </c>
      <c r="J47" s="5" t="s">
        <v>494</v>
      </c>
      <c r="K47" s="5" t="s">
        <v>493</v>
      </c>
      <c r="L47" s="37" t="s">
        <v>465</v>
      </c>
      <c r="M47" s="5" t="s">
        <v>483</v>
      </c>
      <c r="N47" s="4"/>
      <c r="O47" s="39">
        <v>4</v>
      </c>
      <c r="P47">
        <v>0</v>
      </c>
      <c r="Q47">
        <v>0</v>
      </c>
      <c r="R47">
        <v>0</v>
      </c>
      <c r="S47" t="s">
        <v>48</v>
      </c>
    </row>
    <row r="48" spans="1:20" ht="15.6" customHeight="1" x14ac:dyDescent="0.3">
      <c r="A48" s="19" t="s">
        <v>81</v>
      </c>
      <c r="B48" s="5" t="s">
        <v>23</v>
      </c>
      <c r="C48" s="5">
        <v>38.543540999999998</v>
      </c>
      <c r="D48" s="5">
        <v>-8.1376559999999998</v>
      </c>
      <c r="E48" s="48" t="s">
        <v>187</v>
      </c>
      <c r="F48" s="5" t="s">
        <v>19</v>
      </c>
      <c r="G48" s="5" t="s">
        <v>494</v>
      </c>
      <c r="H48" s="5" t="s">
        <v>559</v>
      </c>
      <c r="I48" s="5" t="s">
        <v>495</v>
      </c>
      <c r="J48" s="5" t="s">
        <v>494</v>
      </c>
      <c r="K48" s="5" t="s">
        <v>494</v>
      </c>
      <c r="L48" s="37" t="s">
        <v>465</v>
      </c>
      <c r="M48" s="5" t="s">
        <v>484</v>
      </c>
      <c r="N48" s="4"/>
      <c r="O48" s="39">
        <v>5</v>
      </c>
      <c r="P48">
        <v>0</v>
      </c>
      <c r="Q48">
        <v>0</v>
      </c>
      <c r="R48">
        <v>0</v>
      </c>
      <c r="S48" t="s">
        <v>737</v>
      </c>
    </row>
    <row r="49" spans="1:20" ht="18.600000000000001" customHeight="1" x14ac:dyDescent="0.3">
      <c r="A49" s="19" t="s">
        <v>537</v>
      </c>
      <c r="B49" s="5" t="s">
        <v>23</v>
      </c>
      <c r="C49" s="5">
        <v>40.022962</v>
      </c>
      <c r="D49" s="5">
        <v>-8.5800049999999999</v>
      </c>
      <c r="E49" s="5" t="s">
        <v>84</v>
      </c>
      <c r="F49" s="5" t="s">
        <v>19</v>
      </c>
      <c r="G49" s="5" t="s">
        <v>493</v>
      </c>
      <c r="H49" s="5" t="s">
        <v>313</v>
      </c>
      <c r="I49" s="5" t="s">
        <v>514</v>
      </c>
      <c r="J49" s="5" t="s">
        <v>494</v>
      </c>
      <c r="K49" s="5" t="s">
        <v>494</v>
      </c>
      <c r="L49" s="37" t="s">
        <v>463</v>
      </c>
      <c r="M49" s="5" t="s">
        <v>85</v>
      </c>
      <c r="N49" s="4"/>
      <c r="O49" s="39">
        <v>126</v>
      </c>
      <c r="P49">
        <v>3</v>
      </c>
      <c r="Q49">
        <v>16</v>
      </c>
      <c r="R49">
        <v>1</v>
      </c>
      <c r="S49" t="s">
        <v>388</v>
      </c>
      <c r="T49" s="40" t="s">
        <v>404</v>
      </c>
    </row>
    <row r="50" spans="1:20" ht="18" customHeight="1" x14ac:dyDescent="0.3">
      <c r="A50" s="19" t="s">
        <v>538</v>
      </c>
      <c r="B50" s="5" t="s">
        <v>23</v>
      </c>
      <c r="C50" s="5">
        <v>38.700251999999999</v>
      </c>
      <c r="D50" s="5">
        <v>-9.4210639999999994</v>
      </c>
      <c r="E50" s="54">
        <v>2</v>
      </c>
      <c r="F50" s="5" t="s">
        <v>19</v>
      </c>
      <c r="G50" s="5" t="s">
        <v>494</v>
      </c>
      <c r="H50" s="56" t="s">
        <v>560</v>
      </c>
      <c r="I50" s="5" t="s">
        <v>508</v>
      </c>
      <c r="J50" s="5" t="s">
        <v>494</v>
      </c>
      <c r="K50" s="5" t="s">
        <v>494</v>
      </c>
      <c r="L50" s="37" t="s">
        <v>463</v>
      </c>
      <c r="M50" s="5" t="s">
        <v>87</v>
      </c>
      <c r="N50" s="4" t="s">
        <v>88</v>
      </c>
      <c r="O50" s="39">
        <v>1</v>
      </c>
      <c r="P50">
        <v>0</v>
      </c>
      <c r="Q50">
        <v>0</v>
      </c>
      <c r="R50">
        <v>1</v>
      </c>
      <c r="S50" t="s">
        <v>388</v>
      </c>
    </row>
    <row r="51" spans="1:20" ht="16.2" customHeight="1" x14ac:dyDescent="0.3">
      <c r="A51" s="19" t="s">
        <v>89</v>
      </c>
      <c r="B51" s="5" t="s">
        <v>5</v>
      </c>
      <c r="C51" s="5">
        <v>39.755453000000003</v>
      </c>
      <c r="D51" s="5">
        <v>-8.7347350000000006</v>
      </c>
      <c r="E51" s="5" t="s">
        <v>653</v>
      </c>
      <c r="F51" s="5" t="s">
        <v>24</v>
      </c>
      <c r="G51" s="5" t="s">
        <v>494</v>
      </c>
      <c r="H51" s="5" t="s">
        <v>561</v>
      </c>
      <c r="I51" s="5" t="s">
        <v>495</v>
      </c>
      <c r="J51" s="5" t="s">
        <v>494</v>
      </c>
      <c r="K51" s="5" t="s">
        <v>494</v>
      </c>
      <c r="L51" s="37" t="s">
        <v>459</v>
      </c>
      <c r="M51" s="5" t="s">
        <v>90</v>
      </c>
      <c r="N51" s="4"/>
      <c r="O51" s="39">
        <v>1011</v>
      </c>
      <c r="P51">
        <v>2359</v>
      </c>
      <c r="Q51">
        <v>1712</v>
      </c>
      <c r="R51">
        <v>366</v>
      </c>
      <c r="S51" t="s">
        <v>652</v>
      </c>
      <c r="T51" s="40" t="s">
        <v>651</v>
      </c>
    </row>
    <row r="52" spans="1:20" ht="18.600000000000001" customHeight="1" x14ac:dyDescent="0.3">
      <c r="A52" s="19" t="s">
        <v>89</v>
      </c>
      <c r="B52" s="5" t="s">
        <v>5</v>
      </c>
      <c r="C52" s="5">
        <v>39.755453000000003</v>
      </c>
      <c r="D52" s="5">
        <v>-8.7347350000000006</v>
      </c>
      <c r="E52" s="5" t="s">
        <v>91</v>
      </c>
      <c r="F52" s="5" t="s">
        <v>19</v>
      </c>
      <c r="G52" s="5" t="s">
        <v>494</v>
      </c>
      <c r="H52" s="5" t="s">
        <v>562</v>
      </c>
      <c r="I52" s="5" t="s">
        <v>495</v>
      </c>
      <c r="J52" s="5" t="s">
        <v>494</v>
      </c>
      <c r="K52" s="5" t="s">
        <v>494</v>
      </c>
      <c r="L52" s="37" t="s">
        <v>459</v>
      </c>
      <c r="M52" s="5" t="s">
        <v>92</v>
      </c>
      <c r="N52" s="4"/>
      <c r="O52" s="39">
        <v>1056</v>
      </c>
      <c r="P52">
        <v>1044</v>
      </c>
      <c r="Q52">
        <v>559</v>
      </c>
      <c r="R52">
        <v>104</v>
      </c>
      <c r="S52" t="s">
        <v>650</v>
      </c>
    </row>
    <row r="53" spans="1:20" ht="16.8" customHeight="1" x14ac:dyDescent="0.3">
      <c r="A53" s="19" t="s">
        <v>93</v>
      </c>
      <c r="B53" s="5" t="s">
        <v>15</v>
      </c>
      <c r="C53" s="5">
        <v>39.615566999999999</v>
      </c>
      <c r="D53" s="5">
        <v>-7.9876909999999999</v>
      </c>
      <c r="E53" s="5" t="s">
        <v>656</v>
      </c>
      <c r="F53" s="5" t="s">
        <v>6</v>
      </c>
      <c r="G53" s="5" t="s">
        <v>493</v>
      </c>
      <c r="H53" s="5" t="s">
        <v>313</v>
      </c>
      <c r="I53" s="5" t="s">
        <v>515</v>
      </c>
      <c r="J53" s="5" t="s">
        <v>494</v>
      </c>
      <c r="K53" s="5" t="s">
        <v>493</v>
      </c>
      <c r="L53" s="37" t="s">
        <v>466</v>
      </c>
      <c r="M53" s="5" t="s">
        <v>654</v>
      </c>
      <c r="N53" s="4"/>
      <c r="O53" s="39">
        <v>3</v>
      </c>
      <c r="P53">
        <v>30</v>
      </c>
      <c r="Q53">
        <v>299</v>
      </c>
      <c r="R53">
        <v>4</v>
      </c>
      <c r="S53" t="s">
        <v>655</v>
      </c>
      <c r="T53" s="40" t="s">
        <v>657</v>
      </c>
    </row>
    <row r="54" spans="1:20" ht="16.8" customHeight="1" x14ac:dyDescent="0.3">
      <c r="A54" s="19" t="s">
        <v>94</v>
      </c>
      <c r="B54" s="5" t="s">
        <v>15</v>
      </c>
      <c r="C54" s="5">
        <v>37.129956</v>
      </c>
      <c r="D54" s="5">
        <v>-8.8992190000000004</v>
      </c>
      <c r="E54" s="5" t="s">
        <v>18</v>
      </c>
      <c r="F54" s="5" t="s">
        <v>6</v>
      </c>
      <c r="G54" s="5" t="s">
        <v>493</v>
      </c>
      <c r="H54" s="5" t="s">
        <v>313</v>
      </c>
      <c r="I54" s="5" t="s">
        <v>495</v>
      </c>
      <c r="J54" s="5" t="s">
        <v>494</v>
      </c>
      <c r="K54" s="5" t="s">
        <v>493</v>
      </c>
      <c r="L54" s="37" t="s">
        <v>460</v>
      </c>
      <c r="M54" s="5" t="s">
        <v>658</v>
      </c>
      <c r="N54" s="4"/>
      <c r="O54" s="39" t="s">
        <v>507</v>
      </c>
      <c r="P54" s="4" t="s">
        <v>507</v>
      </c>
      <c r="Q54" s="4" t="s">
        <v>507</v>
      </c>
      <c r="R54" s="4" t="s">
        <v>500</v>
      </c>
      <c r="S54" s="4" t="s">
        <v>659</v>
      </c>
    </row>
    <row r="55" spans="1:20" ht="17.399999999999999" customHeight="1" x14ac:dyDescent="0.3">
      <c r="A55" s="19" t="s">
        <v>95</v>
      </c>
      <c r="B55" s="5" t="s">
        <v>15</v>
      </c>
      <c r="C55" s="5">
        <v>37.123168</v>
      </c>
      <c r="D55" s="5">
        <v>-8.8898109999999999</v>
      </c>
      <c r="E55" s="5" t="s">
        <v>18</v>
      </c>
      <c r="F55" s="5" t="s">
        <v>6</v>
      </c>
      <c r="G55" s="5" t="s">
        <v>493</v>
      </c>
      <c r="H55" s="5" t="s">
        <v>313</v>
      </c>
      <c r="I55" s="5" t="s">
        <v>495</v>
      </c>
      <c r="J55" s="5" t="s">
        <v>494</v>
      </c>
      <c r="K55" s="5" t="s">
        <v>493</v>
      </c>
      <c r="L55" s="37" t="s">
        <v>460</v>
      </c>
      <c r="M55" s="5" t="s">
        <v>658</v>
      </c>
      <c r="N55" s="4"/>
      <c r="O55" s="39" t="s">
        <v>628</v>
      </c>
      <c r="P55" s="4" t="s">
        <v>507</v>
      </c>
      <c r="Q55" s="4" t="s">
        <v>500</v>
      </c>
      <c r="R55" s="4" t="s">
        <v>500</v>
      </c>
      <c r="S55" s="4" t="s">
        <v>659</v>
      </c>
    </row>
    <row r="56" spans="1:20" ht="18.600000000000001" customHeight="1" x14ac:dyDescent="0.3">
      <c r="A56" s="19" t="s">
        <v>96</v>
      </c>
      <c r="B56" s="5" t="s">
        <v>15</v>
      </c>
      <c r="C56" s="5">
        <v>37.113768999999998</v>
      </c>
      <c r="D56" s="5">
        <v>-8.8801539999999992</v>
      </c>
      <c r="E56" s="5" t="s">
        <v>18</v>
      </c>
      <c r="F56" s="5" t="s">
        <v>6</v>
      </c>
      <c r="G56" s="5" t="s">
        <v>494</v>
      </c>
      <c r="H56" s="5" t="s">
        <v>563</v>
      </c>
      <c r="I56" s="5" t="s">
        <v>495</v>
      </c>
      <c r="J56" s="5" t="s">
        <v>494</v>
      </c>
      <c r="K56" s="5" t="s">
        <v>493</v>
      </c>
      <c r="L56" s="37" t="s">
        <v>460</v>
      </c>
      <c r="M56" s="5" t="s">
        <v>658</v>
      </c>
      <c r="N56" s="4"/>
      <c r="O56" s="39" t="s">
        <v>507</v>
      </c>
      <c r="P56" s="4" t="s">
        <v>507</v>
      </c>
      <c r="Q56" s="4" t="s">
        <v>507</v>
      </c>
      <c r="R56" s="4" t="s">
        <v>500</v>
      </c>
      <c r="S56" s="4" t="s">
        <v>659</v>
      </c>
    </row>
    <row r="57" spans="1:20" ht="18.600000000000001" customHeight="1" x14ac:dyDescent="0.3">
      <c r="A57" s="19" t="s">
        <v>97</v>
      </c>
      <c r="B57" s="5" t="s">
        <v>23</v>
      </c>
      <c r="C57" s="5">
        <v>39.181269</v>
      </c>
      <c r="D57" s="5">
        <v>-9.3252459999999999</v>
      </c>
      <c r="E57" s="5" t="s">
        <v>175</v>
      </c>
      <c r="F57" s="5" t="s">
        <v>19</v>
      </c>
      <c r="G57" s="5" t="s">
        <v>494</v>
      </c>
      <c r="H57" s="5" t="s">
        <v>564</v>
      </c>
      <c r="I57" s="5" t="s">
        <v>512</v>
      </c>
      <c r="J57" s="5" t="s">
        <v>494</v>
      </c>
      <c r="K57" s="5" t="s">
        <v>494</v>
      </c>
      <c r="L57" s="37" t="s">
        <v>463</v>
      </c>
      <c r="M57" s="5" t="s">
        <v>98</v>
      </c>
      <c r="N57" s="4"/>
      <c r="O57" s="39">
        <v>2</v>
      </c>
      <c r="P57">
        <v>0</v>
      </c>
      <c r="Q57">
        <v>0</v>
      </c>
      <c r="R57">
        <v>0</v>
      </c>
      <c r="S57" s="4" t="s">
        <v>707</v>
      </c>
      <c r="T57" s="40" t="s">
        <v>708</v>
      </c>
    </row>
    <row r="58" spans="1:20" ht="16.8" customHeight="1" x14ac:dyDescent="0.3">
      <c r="A58" s="19" t="s">
        <v>99</v>
      </c>
      <c r="B58" s="5" t="s">
        <v>5</v>
      </c>
      <c r="C58" s="5">
        <v>39.540736000000003</v>
      </c>
      <c r="D58" s="5" t="s">
        <v>302</v>
      </c>
      <c r="E58" s="54">
        <v>2</v>
      </c>
      <c r="F58" s="5" t="s">
        <v>24</v>
      </c>
      <c r="G58" s="5" t="s">
        <v>494</v>
      </c>
      <c r="H58" s="5" t="s">
        <v>565</v>
      </c>
      <c r="I58" s="5" t="s">
        <v>508</v>
      </c>
      <c r="J58" s="5" t="s">
        <v>494</v>
      </c>
      <c r="K58" s="5" t="s">
        <v>494</v>
      </c>
      <c r="L58" s="37" t="s">
        <v>467</v>
      </c>
      <c r="M58" s="5" t="s">
        <v>667</v>
      </c>
      <c r="N58" s="4"/>
      <c r="O58" s="39">
        <v>657</v>
      </c>
      <c r="P58">
        <v>216</v>
      </c>
      <c r="Q58">
        <v>19</v>
      </c>
      <c r="R58">
        <v>0</v>
      </c>
      <c r="S58" s="4" t="s">
        <v>666</v>
      </c>
    </row>
    <row r="59" spans="1:20" ht="17.399999999999999" customHeight="1" x14ac:dyDescent="0.3">
      <c r="A59" s="19" t="s">
        <v>99</v>
      </c>
      <c r="B59" s="5" t="s">
        <v>5</v>
      </c>
      <c r="C59" s="5">
        <v>39.540736000000003</v>
      </c>
      <c r="D59" s="5">
        <v>-8.7572690000000009</v>
      </c>
      <c r="E59" s="54" t="s">
        <v>176</v>
      </c>
      <c r="F59" s="5" t="s">
        <v>19</v>
      </c>
      <c r="G59" s="5" t="s">
        <v>494</v>
      </c>
      <c r="H59" s="56" t="s">
        <v>566</v>
      </c>
      <c r="I59" s="5" t="s">
        <v>508</v>
      </c>
      <c r="J59" s="5" t="s">
        <v>494</v>
      </c>
      <c r="K59" s="5" t="s">
        <v>494</v>
      </c>
      <c r="L59" s="37" t="s">
        <v>467</v>
      </c>
      <c r="M59" s="5" t="s">
        <v>662</v>
      </c>
      <c r="N59" s="4"/>
      <c r="O59" s="39">
        <v>430</v>
      </c>
      <c r="P59">
        <v>137</v>
      </c>
      <c r="Q59">
        <v>10</v>
      </c>
      <c r="R59">
        <v>0</v>
      </c>
      <c r="S59" s="4" t="s">
        <v>663</v>
      </c>
      <c r="T59" s="40" t="s">
        <v>664</v>
      </c>
    </row>
    <row r="60" spans="1:20" ht="17.399999999999999" customHeight="1" x14ac:dyDescent="0.3">
      <c r="A60" s="19" t="s">
        <v>101</v>
      </c>
      <c r="B60" s="5" t="s">
        <v>23</v>
      </c>
      <c r="C60" s="5">
        <v>39.531669999999998</v>
      </c>
      <c r="D60" s="5">
        <v>-8.6542399999999997</v>
      </c>
      <c r="E60" s="54" t="s">
        <v>672</v>
      </c>
      <c r="F60" s="5" t="s">
        <v>6</v>
      </c>
      <c r="G60" s="5" t="s">
        <v>494</v>
      </c>
      <c r="H60" s="56" t="s">
        <v>669</v>
      </c>
      <c r="I60" s="5" t="s">
        <v>508</v>
      </c>
      <c r="J60" s="5" t="s">
        <v>494</v>
      </c>
      <c r="K60" s="5" t="s">
        <v>494</v>
      </c>
      <c r="L60" s="37" t="s">
        <v>468</v>
      </c>
      <c r="M60" s="5" t="s">
        <v>675</v>
      </c>
      <c r="N60" s="4" t="s">
        <v>674</v>
      </c>
      <c r="O60" s="75">
        <v>0.27500000000000002</v>
      </c>
      <c r="P60" s="44">
        <v>0.55000000000000004</v>
      </c>
      <c r="Q60" s="44">
        <v>0.33</v>
      </c>
      <c r="R60" s="44">
        <v>0.3</v>
      </c>
      <c r="S60" s="4" t="s">
        <v>677</v>
      </c>
      <c r="T60" s="40" t="s">
        <v>678</v>
      </c>
    </row>
    <row r="61" spans="1:20" ht="17.399999999999999" customHeight="1" x14ac:dyDescent="0.3">
      <c r="A61" s="19" t="s">
        <v>101</v>
      </c>
      <c r="B61" s="5" t="s">
        <v>23</v>
      </c>
      <c r="C61" s="5">
        <v>39.531669999999998</v>
      </c>
      <c r="D61" s="5">
        <v>-8.6542399999999997</v>
      </c>
      <c r="E61" s="54" t="s">
        <v>673</v>
      </c>
      <c r="F61" s="5" t="s">
        <v>35</v>
      </c>
      <c r="G61" s="5" t="s">
        <v>494</v>
      </c>
      <c r="H61" s="56" t="s">
        <v>670</v>
      </c>
      <c r="I61" s="5" t="s">
        <v>508</v>
      </c>
      <c r="J61" s="5" t="s">
        <v>494</v>
      </c>
      <c r="K61" s="5" t="s">
        <v>494</v>
      </c>
      <c r="L61" s="37" t="s">
        <v>468</v>
      </c>
      <c r="M61" s="5" t="s">
        <v>675</v>
      </c>
      <c r="N61" s="4"/>
      <c r="O61" s="43">
        <v>0.71</v>
      </c>
      <c r="P61" s="44">
        <v>0.28000000000000003</v>
      </c>
      <c r="Q61" s="44">
        <v>0.47</v>
      </c>
      <c r="R61" s="44">
        <v>0.15</v>
      </c>
      <c r="S61" s="4" t="s">
        <v>679</v>
      </c>
      <c r="T61" s="40" t="s">
        <v>678</v>
      </c>
    </row>
    <row r="62" spans="1:20" ht="17.399999999999999" customHeight="1" x14ac:dyDescent="0.3">
      <c r="A62" s="19" t="s">
        <v>101</v>
      </c>
      <c r="B62" s="5" t="s">
        <v>23</v>
      </c>
      <c r="C62" s="5">
        <v>39.531669999999998</v>
      </c>
      <c r="D62" s="5">
        <v>-8.6542399999999997</v>
      </c>
      <c r="E62" s="54" t="s">
        <v>681</v>
      </c>
      <c r="F62" s="5" t="s">
        <v>24</v>
      </c>
      <c r="G62" s="5" t="s">
        <v>494</v>
      </c>
      <c r="H62" s="56" t="s">
        <v>671</v>
      </c>
      <c r="I62" s="5" t="s">
        <v>495</v>
      </c>
      <c r="J62" s="5" t="s">
        <v>494</v>
      </c>
      <c r="K62" s="5" t="s">
        <v>494</v>
      </c>
      <c r="L62" s="37" t="s">
        <v>468</v>
      </c>
      <c r="M62" s="5" t="s">
        <v>675</v>
      </c>
      <c r="N62" s="4"/>
      <c r="O62" s="39">
        <v>76</v>
      </c>
      <c r="P62">
        <v>206</v>
      </c>
      <c r="Q62">
        <v>57</v>
      </c>
      <c r="R62">
        <v>0</v>
      </c>
      <c r="S62" s="4" t="s">
        <v>680</v>
      </c>
    </row>
    <row r="63" spans="1:20" ht="16.8" customHeight="1" x14ac:dyDescent="0.3">
      <c r="A63" s="19" t="s">
        <v>101</v>
      </c>
      <c r="B63" s="5" t="s">
        <v>23</v>
      </c>
      <c r="C63" s="5">
        <v>39.531669999999998</v>
      </c>
      <c r="D63" s="5">
        <v>-8.6542399999999997</v>
      </c>
      <c r="E63" s="5" t="s">
        <v>665</v>
      </c>
      <c r="F63" s="5" t="s">
        <v>19</v>
      </c>
      <c r="G63" s="5" t="s">
        <v>494</v>
      </c>
      <c r="H63" s="5" t="s">
        <v>567</v>
      </c>
      <c r="I63" s="5" t="s">
        <v>495</v>
      </c>
      <c r="J63" s="5" t="s">
        <v>494</v>
      </c>
      <c r="K63" s="5" t="s">
        <v>494</v>
      </c>
      <c r="L63" s="37" t="s">
        <v>468</v>
      </c>
      <c r="M63" s="5" t="s">
        <v>675</v>
      </c>
      <c r="N63" s="4"/>
      <c r="O63" s="39">
        <v>235</v>
      </c>
      <c r="P63">
        <v>468</v>
      </c>
      <c r="Q63">
        <v>5</v>
      </c>
      <c r="R63">
        <v>14</v>
      </c>
      <c r="S63" s="4" t="s">
        <v>689</v>
      </c>
      <c r="T63" s="40" t="s">
        <v>668</v>
      </c>
    </row>
    <row r="64" spans="1:20" ht="18.600000000000001" customHeight="1" x14ac:dyDescent="0.3">
      <c r="A64" s="19" t="s">
        <v>539</v>
      </c>
      <c r="B64" s="5" t="s">
        <v>23</v>
      </c>
      <c r="C64" s="5">
        <v>39.299129999999998</v>
      </c>
      <c r="D64" s="5">
        <v>-9.2006099999999993</v>
      </c>
      <c r="E64" s="5" t="s">
        <v>103</v>
      </c>
      <c r="F64" s="5" t="s">
        <v>19</v>
      </c>
      <c r="G64" s="5" t="s">
        <v>493</v>
      </c>
      <c r="H64" s="5" t="s">
        <v>313</v>
      </c>
      <c r="I64" s="5" t="s">
        <v>516</v>
      </c>
      <c r="J64" s="5" t="s">
        <v>494</v>
      </c>
      <c r="K64" s="5" t="s">
        <v>494</v>
      </c>
      <c r="L64" s="37" t="s">
        <v>459</v>
      </c>
      <c r="M64" s="5" t="s">
        <v>676</v>
      </c>
      <c r="N64" s="4"/>
      <c r="O64" s="39">
        <v>131</v>
      </c>
      <c r="P64">
        <v>0</v>
      </c>
      <c r="Q64">
        <v>0</v>
      </c>
      <c r="R64">
        <v>4</v>
      </c>
      <c r="S64" t="s">
        <v>487</v>
      </c>
    </row>
    <row r="65" spans="1:20" ht="18" customHeight="1" x14ac:dyDescent="0.3">
      <c r="A65" s="19" t="s">
        <v>104</v>
      </c>
      <c r="B65" s="5" t="s">
        <v>23</v>
      </c>
      <c r="C65" s="5">
        <v>39.682944999999997</v>
      </c>
      <c r="D65" s="5">
        <v>-8.4361759999999997</v>
      </c>
      <c r="E65" s="54">
        <v>4</v>
      </c>
      <c r="F65" s="5" t="s">
        <v>6</v>
      </c>
      <c r="G65" s="5" t="s">
        <v>494</v>
      </c>
      <c r="H65" s="5" t="s">
        <v>568</v>
      </c>
      <c r="I65" s="5" t="s">
        <v>512</v>
      </c>
      <c r="J65" s="5" t="s">
        <v>493</v>
      </c>
      <c r="K65" s="5" t="s">
        <v>494</v>
      </c>
      <c r="L65" s="37" t="s">
        <v>459</v>
      </c>
      <c r="M65" s="5" t="s">
        <v>105</v>
      </c>
      <c r="N65" s="4"/>
      <c r="O65" s="39">
        <v>6</v>
      </c>
      <c r="P65">
        <v>2</v>
      </c>
      <c r="Q65">
        <v>1</v>
      </c>
      <c r="S65" s="4" t="s">
        <v>477</v>
      </c>
    </row>
    <row r="66" spans="1:20" ht="16.8" customHeight="1" x14ac:dyDescent="0.3">
      <c r="A66" s="19" t="s">
        <v>540</v>
      </c>
      <c r="B66" s="5" t="s">
        <v>15</v>
      </c>
      <c r="C66" s="5">
        <v>37.933999999999997</v>
      </c>
      <c r="D66" s="5">
        <v>-8.0869999999999997</v>
      </c>
      <c r="E66" s="5" t="s">
        <v>18</v>
      </c>
      <c r="F66" s="5" t="s">
        <v>6</v>
      </c>
      <c r="G66" s="5" t="s">
        <v>493</v>
      </c>
      <c r="H66" s="5" t="s">
        <v>313</v>
      </c>
      <c r="I66" s="5" t="s">
        <v>517</v>
      </c>
      <c r="J66" s="5" t="s">
        <v>494</v>
      </c>
      <c r="K66" s="5" t="s">
        <v>493</v>
      </c>
      <c r="L66" s="37" t="s">
        <v>460</v>
      </c>
      <c r="M66" s="5" t="s">
        <v>136</v>
      </c>
      <c r="N66" s="4"/>
      <c r="O66" s="43">
        <v>0</v>
      </c>
      <c r="P66" s="4" t="s">
        <v>682</v>
      </c>
      <c r="Q66" s="44">
        <v>0</v>
      </c>
      <c r="R66" t="s">
        <v>683</v>
      </c>
      <c r="S66" s="4" t="s">
        <v>684</v>
      </c>
      <c r="T66" s="40" t="s">
        <v>685</v>
      </c>
    </row>
    <row r="67" spans="1:20" ht="18.600000000000001" customHeight="1" x14ac:dyDescent="0.3">
      <c r="A67" s="19" t="s">
        <v>106</v>
      </c>
      <c r="B67" s="5" t="s">
        <v>15</v>
      </c>
      <c r="C67" s="5">
        <v>39.706026000000001</v>
      </c>
      <c r="D67" s="5">
        <v>-9.0498779999999996</v>
      </c>
      <c r="E67" s="5" t="s">
        <v>323</v>
      </c>
      <c r="F67" s="5" t="s">
        <v>6</v>
      </c>
      <c r="G67" s="5" t="s">
        <v>494</v>
      </c>
      <c r="H67" s="5" t="s">
        <v>569</v>
      </c>
      <c r="I67" s="5" t="s">
        <v>512</v>
      </c>
      <c r="J67" s="5" t="s">
        <v>494</v>
      </c>
      <c r="K67" s="5" t="s">
        <v>493</v>
      </c>
      <c r="L67" s="37" t="s">
        <v>463</v>
      </c>
      <c r="M67" s="5" t="s">
        <v>322</v>
      </c>
      <c r="N67" s="4"/>
      <c r="O67" s="39">
        <v>374</v>
      </c>
      <c r="P67">
        <v>52</v>
      </c>
      <c r="Q67">
        <v>6</v>
      </c>
      <c r="R67">
        <v>0</v>
      </c>
      <c r="S67" s="4" t="s">
        <v>686</v>
      </c>
    </row>
    <row r="68" spans="1:20" ht="18" customHeight="1" x14ac:dyDescent="0.3">
      <c r="A68" s="19" t="s">
        <v>137</v>
      </c>
      <c r="B68" s="5" t="s">
        <v>15</v>
      </c>
      <c r="C68" s="5">
        <v>37.9116</v>
      </c>
      <c r="D68" s="5">
        <v>-8.2492000000000001</v>
      </c>
      <c r="E68" s="5" t="s">
        <v>18</v>
      </c>
      <c r="F68" s="5" t="s">
        <v>6</v>
      </c>
      <c r="G68" s="5" t="s">
        <v>493</v>
      </c>
      <c r="H68" s="5" t="s">
        <v>313</v>
      </c>
      <c r="I68" s="5" t="s">
        <v>497</v>
      </c>
      <c r="J68" s="5" t="s">
        <v>494</v>
      </c>
      <c r="K68" s="5" t="s">
        <v>493</v>
      </c>
      <c r="L68" s="37" t="s">
        <v>459</v>
      </c>
      <c r="M68" s="5" t="s">
        <v>136</v>
      </c>
      <c r="N68" s="4"/>
      <c r="O68" s="43">
        <v>0</v>
      </c>
      <c r="P68" t="s">
        <v>688</v>
      </c>
      <c r="Q68" s="44">
        <v>0</v>
      </c>
      <c r="R68" t="s">
        <v>687</v>
      </c>
      <c r="S68" t="s">
        <v>684</v>
      </c>
      <c r="T68" s="40" t="s">
        <v>690</v>
      </c>
    </row>
    <row r="69" spans="1:20" ht="18" customHeight="1" x14ac:dyDescent="0.3">
      <c r="A69" s="19" t="s">
        <v>138</v>
      </c>
      <c r="B69" s="5" t="s">
        <v>15</v>
      </c>
      <c r="C69" s="5">
        <v>37.9116</v>
      </c>
      <c r="D69" s="5">
        <v>-8.2492000000000001</v>
      </c>
      <c r="E69" s="5" t="s">
        <v>18</v>
      </c>
      <c r="F69" s="5" t="s">
        <v>6</v>
      </c>
      <c r="G69" s="5" t="s">
        <v>493</v>
      </c>
      <c r="H69" s="5" t="s">
        <v>313</v>
      </c>
      <c r="I69" s="5" t="s">
        <v>497</v>
      </c>
      <c r="J69" s="5" t="s">
        <v>494</v>
      </c>
      <c r="K69" s="5" t="s">
        <v>493</v>
      </c>
      <c r="L69" s="37" t="s">
        <v>459</v>
      </c>
      <c r="M69" s="5" t="s">
        <v>136</v>
      </c>
      <c r="N69" s="4"/>
      <c r="O69" s="43">
        <v>0</v>
      </c>
      <c r="P69" s="44">
        <v>7.0000000000000007E-2</v>
      </c>
      <c r="Q69" s="44">
        <v>0</v>
      </c>
      <c r="R69" s="44">
        <v>0.93</v>
      </c>
      <c r="S69" t="s">
        <v>684</v>
      </c>
      <c r="T69" s="40" t="s">
        <v>691</v>
      </c>
    </row>
    <row r="70" spans="1:20" ht="16.8" customHeight="1" x14ac:dyDescent="0.3">
      <c r="A70" s="19" t="s">
        <v>139</v>
      </c>
      <c r="B70" s="5" t="s">
        <v>15</v>
      </c>
      <c r="C70" s="5">
        <v>39.508730999999997</v>
      </c>
      <c r="D70" s="5">
        <v>-8.0401989999999994</v>
      </c>
      <c r="E70" s="5" t="s">
        <v>309</v>
      </c>
      <c r="F70" s="5" t="s">
        <v>6</v>
      </c>
      <c r="G70" s="5" t="s">
        <v>493</v>
      </c>
      <c r="H70" s="5" t="s">
        <v>313</v>
      </c>
      <c r="I70" s="5" t="s">
        <v>499</v>
      </c>
      <c r="J70" s="5" t="s">
        <v>494</v>
      </c>
      <c r="K70" s="5" t="s">
        <v>493</v>
      </c>
      <c r="L70" s="37" t="s">
        <v>466</v>
      </c>
      <c r="M70" s="5" t="s">
        <v>692</v>
      </c>
      <c r="N70" s="4"/>
      <c r="O70" s="39">
        <v>0</v>
      </c>
      <c r="P70">
        <v>50</v>
      </c>
      <c r="Q70" s="47">
        <v>60</v>
      </c>
      <c r="R70">
        <v>13</v>
      </c>
      <c r="S70" t="s">
        <v>693</v>
      </c>
    </row>
    <row r="71" spans="1:20" ht="16.2" customHeight="1" x14ac:dyDescent="0.3">
      <c r="A71" s="19" t="s">
        <v>298</v>
      </c>
      <c r="B71" s="5" t="s">
        <v>15</v>
      </c>
      <c r="C71" s="5">
        <v>39.758595999999997</v>
      </c>
      <c r="D71" s="5">
        <v>-7.6937734000000004</v>
      </c>
      <c r="E71" s="5" t="s">
        <v>316</v>
      </c>
      <c r="F71" s="5" t="s">
        <v>19</v>
      </c>
      <c r="G71" s="5" t="s">
        <v>493</v>
      </c>
      <c r="H71" s="5" t="s">
        <v>313</v>
      </c>
      <c r="I71" s="5" t="s">
        <v>518</v>
      </c>
      <c r="J71" s="5" t="s">
        <v>493</v>
      </c>
      <c r="K71" s="5" t="s">
        <v>493</v>
      </c>
      <c r="L71" s="37" t="s">
        <v>465</v>
      </c>
      <c r="M71" s="5" t="s">
        <v>48</v>
      </c>
      <c r="N71" s="4"/>
      <c r="O71" s="39">
        <v>4</v>
      </c>
      <c r="P71">
        <v>0</v>
      </c>
      <c r="Q71">
        <v>0</v>
      </c>
      <c r="R71">
        <v>15</v>
      </c>
      <c r="S71" t="s">
        <v>48</v>
      </c>
      <c r="T71" s="40" t="s">
        <v>489</v>
      </c>
    </row>
    <row r="72" spans="1:20" ht="16.2" customHeight="1" x14ac:dyDescent="0.3">
      <c r="A72" s="19" t="s">
        <v>142</v>
      </c>
      <c r="B72" s="5" t="s">
        <v>15</v>
      </c>
      <c r="C72" s="5">
        <v>39.346559999999997</v>
      </c>
      <c r="D72" s="5">
        <v>-8.9303810000000006</v>
      </c>
      <c r="E72" s="54">
        <v>5</v>
      </c>
      <c r="F72" s="5" t="s">
        <v>19</v>
      </c>
      <c r="G72" s="5" t="s">
        <v>493</v>
      </c>
      <c r="H72" s="5" t="s">
        <v>313</v>
      </c>
      <c r="I72" s="5" t="s">
        <v>495</v>
      </c>
      <c r="J72" s="5" t="s">
        <v>494</v>
      </c>
      <c r="K72" s="5" t="s">
        <v>493</v>
      </c>
      <c r="L72" s="37" t="s">
        <v>459</v>
      </c>
      <c r="M72" s="5" t="s">
        <v>48</v>
      </c>
      <c r="N72" s="4"/>
      <c r="O72" s="39">
        <v>610</v>
      </c>
      <c r="P72">
        <v>9</v>
      </c>
      <c r="Q72">
        <v>7</v>
      </c>
      <c r="R72">
        <v>0</v>
      </c>
      <c r="S72" t="s">
        <v>388</v>
      </c>
    </row>
    <row r="73" spans="1:20" x14ac:dyDescent="0.3">
      <c r="A73" s="19" t="s">
        <v>143</v>
      </c>
      <c r="B73" s="5" t="s">
        <v>15</v>
      </c>
      <c r="C73" s="5">
        <v>39.316215999999997</v>
      </c>
      <c r="D73" s="5">
        <v>-8.841742</v>
      </c>
      <c r="E73" s="5" t="s">
        <v>317</v>
      </c>
      <c r="F73" s="5" t="s">
        <v>19</v>
      </c>
      <c r="G73" s="5" t="s">
        <v>493</v>
      </c>
      <c r="H73" s="5" t="s">
        <v>313</v>
      </c>
      <c r="I73" s="5" t="s">
        <v>515</v>
      </c>
      <c r="J73" s="5" t="s">
        <v>493</v>
      </c>
      <c r="K73" s="5" t="s">
        <v>493</v>
      </c>
      <c r="L73" s="37" t="s">
        <v>463</v>
      </c>
      <c r="M73" s="5" t="s">
        <v>48</v>
      </c>
      <c r="N73" s="4"/>
      <c r="O73" s="39">
        <v>608</v>
      </c>
      <c r="P73">
        <v>0</v>
      </c>
      <c r="Q73">
        <v>3</v>
      </c>
      <c r="R73">
        <v>0</v>
      </c>
      <c r="S73" t="s">
        <v>48</v>
      </c>
    </row>
    <row r="74" spans="1:20" ht="16.2" customHeight="1" x14ac:dyDescent="0.3">
      <c r="A74" s="19" t="s">
        <v>541</v>
      </c>
      <c r="B74" s="5" t="s">
        <v>15</v>
      </c>
      <c r="C74" s="5">
        <v>39.919176999999998</v>
      </c>
      <c r="D74" s="5">
        <v>-8.9535900000000002</v>
      </c>
      <c r="E74" s="5" t="s">
        <v>18</v>
      </c>
      <c r="F74" s="5" t="s">
        <v>6</v>
      </c>
      <c r="G74" s="5" t="s">
        <v>493</v>
      </c>
      <c r="H74" s="5" t="s">
        <v>313</v>
      </c>
      <c r="I74" s="5" t="s">
        <v>508</v>
      </c>
      <c r="J74" s="5" t="s">
        <v>493</v>
      </c>
      <c r="K74" s="5" t="s">
        <v>493</v>
      </c>
      <c r="L74" s="37" t="s">
        <v>463</v>
      </c>
      <c r="M74" s="5" t="s">
        <v>141</v>
      </c>
      <c r="N74" s="4"/>
      <c r="O74" s="39" t="s">
        <v>628</v>
      </c>
      <c r="P74" t="s">
        <v>500</v>
      </c>
      <c r="Q74" t="s">
        <v>394</v>
      </c>
      <c r="R74" t="s">
        <v>500</v>
      </c>
      <c r="S74" t="s">
        <v>715</v>
      </c>
      <c r="T74" s="73" t="s">
        <v>722</v>
      </c>
    </row>
    <row r="75" spans="1:20" ht="18.600000000000001" customHeight="1" x14ac:dyDescent="0.3">
      <c r="A75" s="19" t="s">
        <v>107</v>
      </c>
      <c r="B75" s="5" t="s">
        <v>23</v>
      </c>
      <c r="C75" s="5">
        <v>38.863075000000002</v>
      </c>
      <c r="D75" s="5">
        <v>-9.2207150000000002</v>
      </c>
      <c r="E75" s="5" t="s">
        <v>177</v>
      </c>
      <c r="F75" s="5" t="s">
        <v>6</v>
      </c>
      <c r="G75" s="5" t="s">
        <v>494</v>
      </c>
      <c r="H75" s="5" t="s">
        <v>571</v>
      </c>
      <c r="I75" s="5" t="s">
        <v>508</v>
      </c>
      <c r="J75" s="5" t="s">
        <v>493</v>
      </c>
      <c r="K75" s="5" t="s">
        <v>493</v>
      </c>
      <c r="L75" s="37" t="s">
        <v>458</v>
      </c>
      <c r="M75" s="5" t="s">
        <v>108</v>
      </c>
      <c r="N75" s="4"/>
      <c r="O75" s="39">
        <v>7</v>
      </c>
      <c r="P75">
        <v>1</v>
      </c>
      <c r="Q75">
        <v>0</v>
      </c>
      <c r="R75">
        <v>0</v>
      </c>
      <c r="S75" t="s">
        <v>477</v>
      </c>
    </row>
    <row r="76" spans="1:20" ht="17.399999999999999" customHeight="1" x14ac:dyDescent="0.3">
      <c r="A76" s="19" t="s">
        <v>107</v>
      </c>
      <c r="B76" s="5" t="s">
        <v>23</v>
      </c>
      <c r="C76" s="5">
        <v>38.863075000000002</v>
      </c>
      <c r="D76" s="5">
        <v>-9.2207150000000002</v>
      </c>
      <c r="E76" s="5">
        <v>2</v>
      </c>
      <c r="F76" s="5" t="s">
        <v>35</v>
      </c>
      <c r="G76" s="5" t="s">
        <v>494</v>
      </c>
      <c r="H76" s="5" t="s">
        <v>570</v>
      </c>
      <c r="I76" s="5" t="s">
        <v>512</v>
      </c>
      <c r="J76" s="5" t="s">
        <v>494</v>
      </c>
      <c r="K76" s="5" t="s">
        <v>494</v>
      </c>
      <c r="L76" s="37" t="s">
        <v>458</v>
      </c>
      <c r="M76" s="5" t="s">
        <v>108</v>
      </c>
      <c r="N76" s="4"/>
      <c r="O76" s="39">
        <v>23</v>
      </c>
      <c r="P76">
        <v>9</v>
      </c>
      <c r="Q76">
        <v>0</v>
      </c>
      <c r="R76">
        <v>1</v>
      </c>
      <c r="S76" t="s">
        <v>477</v>
      </c>
    </row>
    <row r="77" spans="1:20" ht="16.2" customHeight="1" x14ac:dyDescent="0.3">
      <c r="A77" s="19" t="s">
        <v>144</v>
      </c>
      <c r="B77" s="5" t="s">
        <v>15</v>
      </c>
      <c r="C77" s="5">
        <v>39.279102999999999</v>
      </c>
      <c r="D77" s="5">
        <v>-7.4073799999999999</v>
      </c>
      <c r="E77" s="5" t="s">
        <v>325</v>
      </c>
      <c r="F77" s="5" t="s">
        <v>6</v>
      </c>
      <c r="G77" s="5" t="s">
        <v>493</v>
      </c>
      <c r="H77" s="5" t="s">
        <v>313</v>
      </c>
      <c r="I77" s="5" t="s">
        <v>499</v>
      </c>
      <c r="J77" s="5" t="s">
        <v>493</v>
      </c>
      <c r="K77" s="5" t="s">
        <v>493</v>
      </c>
      <c r="L77" s="37" t="s">
        <v>460</v>
      </c>
      <c r="M77" s="5" t="s">
        <v>720</v>
      </c>
      <c r="N77" s="4"/>
      <c r="O77" s="43">
        <v>0</v>
      </c>
      <c r="P77" s="79">
        <v>0.41199999999999998</v>
      </c>
      <c r="Q77" s="79">
        <v>0.55800000000000005</v>
      </c>
      <c r="R77" s="70">
        <v>3.1E-2</v>
      </c>
      <c r="S77" t="s">
        <v>391</v>
      </c>
      <c r="T77" s="40" t="s">
        <v>721</v>
      </c>
    </row>
    <row r="78" spans="1:20" ht="17.399999999999999" customHeight="1" x14ac:dyDescent="0.3">
      <c r="A78" s="19" t="s">
        <v>109</v>
      </c>
      <c r="B78" s="5" t="s">
        <v>15</v>
      </c>
      <c r="C78" s="5">
        <v>37.087592000000001</v>
      </c>
      <c r="D78" s="5">
        <v>-8.3214760000000005</v>
      </c>
      <c r="E78" s="5" t="s">
        <v>18</v>
      </c>
      <c r="F78" s="5" t="s">
        <v>6</v>
      </c>
      <c r="G78" s="5" t="s">
        <v>493</v>
      </c>
      <c r="H78" s="5" t="s">
        <v>313</v>
      </c>
      <c r="I78" s="5" t="s">
        <v>495</v>
      </c>
      <c r="J78" s="5" t="s">
        <v>493</v>
      </c>
      <c r="K78" s="5" t="s">
        <v>493</v>
      </c>
      <c r="L78" s="37" t="s">
        <v>463</v>
      </c>
      <c r="M78" s="5" t="s">
        <v>110</v>
      </c>
      <c r="N78" s="4"/>
      <c r="O78" s="39" t="s">
        <v>394</v>
      </c>
      <c r="P78" s="4" t="s">
        <v>394</v>
      </c>
      <c r="Q78" s="4" t="s">
        <v>507</v>
      </c>
      <c r="R78" s="4" t="s">
        <v>500</v>
      </c>
      <c r="S78" s="4" t="s">
        <v>696</v>
      </c>
    </row>
    <row r="79" spans="1:20" ht="18.600000000000001" customHeight="1" x14ac:dyDescent="0.3">
      <c r="A79" s="19" t="s">
        <v>111</v>
      </c>
      <c r="B79" s="5" t="s">
        <v>15</v>
      </c>
      <c r="C79" s="5">
        <v>39.422767</v>
      </c>
      <c r="D79" s="5">
        <v>-9.2435109999999998</v>
      </c>
      <c r="E79" s="5" t="s">
        <v>178</v>
      </c>
      <c r="F79" s="5" t="s">
        <v>6</v>
      </c>
      <c r="G79" s="5" t="s">
        <v>494</v>
      </c>
      <c r="H79" s="5" t="s">
        <v>572</v>
      </c>
      <c r="I79" s="5" t="s">
        <v>497</v>
      </c>
      <c r="J79" s="5" t="s">
        <v>494</v>
      </c>
      <c r="K79" s="5" t="s">
        <v>493</v>
      </c>
      <c r="L79" s="37" t="s">
        <v>463</v>
      </c>
      <c r="M79" s="5" t="s">
        <v>112</v>
      </c>
      <c r="N79" s="4" t="s">
        <v>113</v>
      </c>
      <c r="O79" s="43">
        <v>0.13</v>
      </c>
      <c r="P79" s="44">
        <v>0.15</v>
      </c>
      <c r="Q79" s="44">
        <v>0.72</v>
      </c>
      <c r="R79" s="44">
        <v>0</v>
      </c>
      <c r="S79" t="s">
        <v>697</v>
      </c>
    </row>
    <row r="80" spans="1:20" ht="16.2" customHeight="1" x14ac:dyDescent="0.3">
      <c r="A80" s="19" t="s">
        <v>114</v>
      </c>
      <c r="B80" s="5" t="s">
        <v>15</v>
      </c>
      <c r="C80" s="5">
        <v>39.473810999999998</v>
      </c>
      <c r="D80" s="5">
        <v>-8.4619250000000008</v>
      </c>
      <c r="E80" s="5" t="s">
        <v>180</v>
      </c>
      <c r="F80" s="5" t="s">
        <v>6</v>
      </c>
      <c r="G80" s="5" t="s">
        <v>493</v>
      </c>
      <c r="H80" s="5" t="s">
        <v>313</v>
      </c>
      <c r="I80" s="5" t="s">
        <v>499</v>
      </c>
      <c r="J80" s="5" t="s">
        <v>494</v>
      </c>
      <c r="K80" s="5" t="s">
        <v>493</v>
      </c>
      <c r="L80" s="37" t="s">
        <v>463</v>
      </c>
      <c r="M80" s="5" t="s">
        <v>115</v>
      </c>
      <c r="N80" s="4"/>
      <c r="O80" s="39" t="s">
        <v>500</v>
      </c>
      <c r="P80" s="4" t="s">
        <v>500</v>
      </c>
      <c r="Q80" s="4" t="s">
        <v>394</v>
      </c>
      <c r="R80" s="4" t="s">
        <v>500</v>
      </c>
      <c r="S80" s="4" t="s">
        <v>694</v>
      </c>
    </row>
    <row r="81" spans="1:20" s="52" customFormat="1" ht="17.399999999999999" customHeight="1" x14ac:dyDescent="0.3">
      <c r="A81" s="20" t="s">
        <v>114</v>
      </c>
      <c r="B81" s="6" t="s">
        <v>15</v>
      </c>
      <c r="C81" s="6">
        <v>39.473810999999998</v>
      </c>
      <c r="D81" s="6">
        <v>-8.4619250000000008</v>
      </c>
      <c r="E81" s="6" t="s">
        <v>181</v>
      </c>
      <c r="F81" s="6" t="s">
        <v>24</v>
      </c>
      <c r="G81" s="6" t="s">
        <v>494</v>
      </c>
      <c r="H81" s="6" t="s">
        <v>573</v>
      </c>
      <c r="I81" s="6" t="s">
        <v>515</v>
      </c>
      <c r="J81" s="6" t="s">
        <v>494</v>
      </c>
      <c r="K81" s="6" t="s">
        <v>493</v>
      </c>
      <c r="L81" s="37" t="s">
        <v>463</v>
      </c>
      <c r="M81" s="6" t="s">
        <v>116</v>
      </c>
      <c r="N81" s="50"/>
      <c r="O81" s="51" t="s">
        <v>628</v>
      </c>
      <c r="P81" s="52" t="s">
        <v>500</v>
      </c>
      <c r="Q81" s="52" t="s">
        <v>394</v>
      </c>
      <c r="R81" s="52" t="s">
        <v>500</v>
      </c>
      <c r="S81" s="52" t="s">
        <v>694</v>
      </c>
      <c r="T81" s="53"/>
    </row>
    <row r="82" spans="1:20" x14ac:dyDescent="0.3">
      <c r="A82" s="19" t="s">
        <v>146</v>
      </c>
      <c r="B82" s="5" t="s">
        <v>15</v>
      </c>
      <c r="C82" s="5">
        <v>39.552415000000003</v>
      </c>
      <c r="D82" s="5">
        <v>-8.3903470000000002</v>
      </c>
      <c r="E82" s="5" t="s">
        <v>179</v>
      </c>
      <c r="F82" s="5" t="s">
        <v>6</v>
      </c>
      <c r="G82" s="5" t="s">
        <v>493</v>
      </c>
      <c r="H82" s="5" t="s">
        <v>313</v>
      </c>
      <c r="I82" s="5" t="s">
        <v>495</v>
      </c>
      <c r="J82" s="5" t="s">
        <v>493</v>
      </c>
      <c r="K82" s="5" t="s">
        <v>493</v>
      </c>
      <c r="L82" s="37" t="s">
        <v>463</v>
      </c>
      <c r="M82" s="5" t="s">
        <v>154</v>
      </c>
      <c r="N82" s="4"/>
      <c r="O82" s="43">
        <v>0.19</v>
      </c>
      <c r="P82" s="70">
        <v>0.54400000000000004</v>
      </c>
      <c r="Q82" s="44">
        <v>0.32</v>
      </c>
      <c r="R82" s="44">
        <v>0.03</v>
      </c>
      <c r="S82" t="s">
        <v>695</v>
      </c>
    </row>
    <row r="83" spans="1:20" x14ac:dyDescent="0.3">
      <c r="A83" s="19" t="s">
        <v>147</v>
      </c>
      <c r="B83" s="5" t="s">
        <v>15</v>
      </c>
      <c r="C83" s="5">
        <v>38.858704000000003</v>
      </c>
      <c r="D83" s="5">
        <v>-9.1427589999999999</v>
      </c>
      <c r="E83" s="48" t="s">
        <v>324</v>
      </c>
      <c r="F83" s="5" t="s">
        <v>6</v>
      </c>
      <c r="G83" s="5" t="s">
        <v>494</v>
      </c>
      <c r="H83" s="5" t="s">
        <v>574</v>
      </c>
      <c r="I83" s="5" t="s">
        <v>495</v>
      </c>
      <c r="J83" s="5" t="s">
        <v>494</v>
      </c>
      <c r="K83" s="5" t="s">
        <v>494</v>
      </c>
      <c r="L83" s="37" t="s">
        <v>463</v>
      </c>
      <c r="M83" s="5" t="s">
        <v>155</v>
      </c>
      <c r="N83" s="4"/>
      <c r="O83" s="41" t="s">
        <v>628</v>
      </c>
      <c r="P83" s="4" t="s">
        <v>394</v>
      </c>
      <c r="Q83" t="s">
        <v>394</v>
      </c>
      <c r="S83" s="4" t="s">
        <v>395</v>
      </c>
    </row>
    <row r="84" spans="1:20" x14ac:dyDescent="0.3">
      <c r="A84" s="19" t="s">
        <v>148</v>
      </c>
      <c r="B84" s="5" t="s">
        <v>15</v>
      </c>
      <c r="C84" s="5">
        <v>38.404792</v>
      </c>
      <c r="D84" s="5">
        <v>-7.3819710000000001</v>
      </c>
      <c r="E84" s="5" t="s">
        <v>182</v>
      </c>
      <c r="F84" s="5" t="s">
        <v>6</v>
      </c>
      <c r="G84" s="5" t="s">
        <v>493</v>
      </c>
      <c r="H84" s="5" t="s">
        <v>313</v>
      </c>
      <c r="I84" s="5" t="s">
        <v>497</v>
      </c>
      <c r="J84" s="5" t="s">
        <v>494</v>
      </c>
      <c r="K84" s="5" t="s">
        <v>493</v>
      </c>
      <c r="L84" s="37" t="s">
        <v>460</v>
      </c>
      <c r="M84" s="5" t="s">
        <v>156</v>
      </c>
      <c r="N84" s="4"/>
      <c r="O84" s="39">
        <v>0</v>
      </c>
      <c r="P84">
        <v>133</v>
      </c>
      <c r="Q84">
        <v>759</v>
      </c>
      <c r="R84">
        <v>13</v>
      </c>
      <c r="S84" t="s">
        <v>698</v>
      </c>
    </row>
    <row r="85" spans="1:20" x14ac:dyDescent="0.3">
      <c r="A85" s="19" t="s">
        <v>294</v>
      </c>
      <c r="B85" s="5" t="s">
        <v>15</v>
      </c>
      <c r="C85" s="5">
        <v>39.912013000000002</v>
      </c>
      <c r="D85" s="5">
        <v>-7.6900219999999999</v>
      </c>
      <c r="E85" s="5" t="s">
        <v>326</v>
      </c>
      <c r="F85" s="5" t="s">
        <v>6</v>
      </c>
      <c r="G85" s="5" t="s">
        <v>493</v>
      </c>
      <c r="H85" s="5" t="s">
        <v>313</v>
      </c>
      <c r="I85" s="5" t="s">
        <v>495</v>
      </c>
      <c r="J85" s="5" t="s">
        <v>494</v>
      </c>
      <c r="K85" s="5" t="s">
        <v>493</v>
      </c>
      <c r="L85" s="37" t="s">
        <v>466</v>
      </c>
      <c r="M85" s="5" t="s">
        <v>160</v>
      </c>
      <c r="N85" s="4"/>
      <c r="O85" s="43">
        <v>0.05</v>
      </c>
      <c r="P85" s="44">
        <v>0.1</v>
      </c>
      <c r="Q85" s="44">
        <v>0.84</v>
      </c>
      <c r="R85" s="44">
        <v>0.01</v>
      </c>
      <c r="S85" t="s">
        <v>391</v>
      </c>
    </row>
    <row r="86" spans="1:20" ht="20.399999999999999" customHeight="1" x14ac:dyDescent="0.3">
      <c r="A86" s="19" t="s">
        <v>117</v>
      </c>
      <c r="B86" s="5" t="s">
        <v>15</v>
      </c>
      <c r="C86" s="5">
        <v>39.342095999999998</v>
      </c>
      <c r="D86" s="5">
        <v>-8.9927229999999998</v>
      </c>
      <c r="E86" s="5" t="s">
        <v>18</v>
      </c>
      <c r="F86" s="5" t="s">
        <v>19</v>
      </c>
      <c r="G86" s="5" t="s">
        <v>493</v>
      </c>
      <c r="H86" s="5" t="s">
        <v>313</v>
      </c>
      <c r="I86" s="5" t="s">
        <v>495</v>
      </c>
      <c r="J86" s="5" t="s">
        <v>494</v>
      </c>
      <c r="K86" s="5" t="s">
        <v>493</v>
      </c>
      <c r="L86" s="37" t="s">
        <v>460</v>
      </c>
      <c r="M86" s="5" t="s">
        <v>98</v>
      </c>
      <c r="N86" s="4"/>
      <c r="O86" s="39">
        <v>126</v>
      </c>
      <c r="P86">
        <v>11</v>
      </c>
      <c r="Q86">
        <v>6</v>
      </c>
      <c r="R86">
        <v>0</v>
      </c>
      <c r="S86" t="s">
        <v>48</v>
      </c>
    </row>
    <row r="87" spans="1:20" ht="19.2" customHeight="1" x14ac:dyDescent="0.3">
      <c r="A87" s="19" t="s">
        <v>118</v>
      </c>
      <c r="B87" s="5" t="s">
        <v>15</v>
      </c>
      <c r="C87" s="5">
        <v>39.344776000000003</v>
      </c>
      <c r="D87" s="5">
        <v>-8.9912960000000002</v>
      </c>
      <c r="E87" s="5" t="s">
        <v>183</v>
      </c>
      <c r="F87" s="5" t="s">
        <v>24</v>
      </c>
      <c r="G87" s="5" t="s">
        <v>493</v>
      </c>
      <c r="H87" s="5" t="s">
        <v>313</v>
      </c>
      <c r="I87" s="5" t="s">
        <v>495</v>
      </c>
      <c r="J87" s="5" t="s">
        <v>494</v>
      </c>
      <c r="K87" s="5" t="s">
        <v>494</v>
      </c>
      <c r="L87" s="37" t="s">
        <v>460</v>
      </c>
      <c r="M87" s="5" t="s">
        <v>33</v>
      </c>
      <c r="N87" s="4"/>
      <c r="O87" s="39">
        <v>3458</v>
      </c>
      <c r="P87">
        <v>11</v>
      </c>
      <c r="Q87">
        <v>5</v>
      </c>
      <c r="R87">
        <v>21</v>
      </c>
      <c r="S87" t="s">
        <v>388</v>
      </c>
    </row>
    <row r="88" spans="1:20" ht="18.600000000000001" customHeight="1" x14ac:dyDescent="0.3">
      <c r="A88" s="19" t="s">
        <v>118</v>
      </c>
      <c r="B88" s="5" t="s">
        <v>15</v>
      </c>
      <c r="C88" s="5">
        <v>39.344776000000003</v>
      </c>
      <c r="D88" s="5">
        <v>-8.9912960000000002</v>
      </c>
      <c r="E88" s="54" t="s">
        <v>485</v>
      </c>
      <c r="F88" s="5" t="s">
        <v>19</v>
      </c>
      <c r="G88" s="5" t="s">
        <v>494</v>
      </c>
      <c r="H88" s="5" t="s">
        <v>575</v>
      </c>
      <c r="I88" s="5" t="s">
        <v>495</v>
      </c>
      <c r="J88" s="5" t="s">
        <v>494</v>
      </c>
      <c r="K88" s="5" t="s">
        <v>494</v>
      </c>
      <c r="L88" s="37" t="s">
        <v>460</v>
      </c>
      <c r="M88" s="5" t="s">
        <v>98</v>
      </c>
      <c r="N88" s="4"/>
      <c r="O88" s="39">
        <v>2706</v>
      </c>
      <c r="P88">
        <v>1702</v>
      </c>
      <c r="Q88">
        <v>306</v>
      </c>
      <c r="R88">
        <v>43</v>
      </c>
      <c r="S88" t="s">
        <v>48</v>
      </c>
    </row>
    <row r="89" spans="1:20" x14ac:dyDescent="0.3">
      <c r="A89" s="19" t="s">
        <v>119</v>
      </c>
      <c r="B89" s="5" t="s">
        <v>5</v>
      </c>
      <c r="C89" s="5">
        <v>37.090102999999999</v>
      </c>
      <c r="D89" s="5">
        <v>-8.8042549999999995</v>
      </c>
      <c r="E89" s="5" t="s">
        <v>184</v>
      </c>
      <c r="F89" s="5" t="s">
        <v>24</v>
      </c>
      <c r="G89" s="5" t="s">
        <v>494</v>
      </c>
      <c r="H89" s="5" t="s">
        <v>576</v>
      </c>
      <c r="I89" s="5" t="s">
        <v>508</v>
      </c>
      <c r="J89" s="5" t="s">
        <v>494</v>
      </c>
      <c r="K89" s="5" t="s">
        <v>494</v>
      </c>
      <c r="L89" s="37" t="s">
        <v>463</v>
      </c>
      <c r="M89" s="5" t="s">
        <v>100</v>
      </c>
      <c r="N89" s="4"/>
      <c r="O89" s="69">
        <v>0.38240000000000002</v>
      </c>
      <c r="P89" s="70">
        <v>0.49690000000000001</v>
      </c>
      <c r="Q89" s="70">
        <v>4.4000000000000003E-3</v>
      </c>
      <c r="R89" s="70">
        <v>4.1599999999999998E-2</v>
      </c>
      <c r="S89" t="s">
        <v>702</v>
      </c>
      <c r="T89" s="40" t="s">
        <v>705</v>
      </c>
    </row>
    <row r="90" spans="1:20" x14ac:dyDescent="0.3">
      <c r="A90" s="19" t="s">
        <v>119</v>
      </c>
      <c r="B90" s="5" t="s">
        <v>5</v>
      </c>
      <c r="C90" s="5">
        <v>37.090102999999999</v>
      </c>
      <c r="D90" s="5">
        <v>-8.8042549999999995</v>
      </c>
      <c r="E90" s="5" t="s">
        <v>185</v>
      </c>
      <c r="F90" s="5" t="s">
        <v>19</v>
      </c>
      <c r="G90" s="5" t="s">
        <v>494</v>
      </c>
      <c r="H90" s="5" t="s">
        <v>577</v>
      </c>
      <c r="I90" s="5" t="s">
        <v>508</v>
      </c>
      <c r="J90" s="5" t="s">
        <v>494</v>
      </c>
      <c r="K90" s="5" t="s">
        <v>494</v>
      </c>
      <c r="L90" s="37" t="s">
        <v>463</v>
      </c>
      <c r="M90" s="5" t="s">
        <v>701</v>
      </c>
      <c r="N90" s="4"/>
      <c r="O90" s="43">
        <v>0.49659999999999999</v>
      </c>
      <c r="P90" s="44">
        <v>0.35</v>
      </c>
      <c r="Q90" s="44">
        <v>0.125</v>
      </c>
      <c r="R90" s="44">
        <v>0.09</v>
      </c>
      <c r="S90" t="s">
        <v>703</v>
      </c>
      <c r="T90" s="40" t="s">
        <v>704</v>
      </c>
    </row>
    <row r="91" spans="1:20" ht="18" customHeight="1" x14ac:dyDescent="0.3">
      <c r="A91" s="19" t="s">
        <v>120</v>
      </c>
      <c r="B91" s="5" t="s">
        <v>15</v>
      </c>
      <c r="C91" s="5">
        <v>39.328778999999997</v>
      </c>
      <c r="D91" s="5">
        <v>-8.9827790000000007</v>
      </c>
      <c r="E91" s="5" t="s">
        <v>313</v>
      </c>
      <c r="F91" s="5" t="s">
        <v>24</v>
      </c>
      <c r="G91" s="5" t="s">
        <v>493</v>
      </c>
      <c r="H91" s="5" t="s">
        <v>313</v>
      </c>
      <c r="I91" s="5" t="s">
        <v>519</v>
      </c>
      <c r="J91" s="5" t="s">
        <v>494</v>
      </c>
      <c r="K91" s="5" t="s">
        <v>494</v>
      </c>
      <c r="L91" s="37" t="s">
        <v>460</v>
      </c>
      <c r="M91" s="5" t="s">
        <v>121</v>
      </c>
      <c r="N91" s="4"/>
      <c r="O91" s="39">
        <v>1799</v>
      </c>
      <c r="P91">
        <v>6</v>
      </c>
      <c r="Q91">
        <v>0</v>
      </c>
      <c r="R91">
        <v>6</v>
      </c>
      <c r="S91" t="s">
        <v>48</v>
      </c>
    </row>
    <row r="92" spans="1:20" ht="18" customHeight="1" x14ac:dyDescent="0.3">
      <c r="A92" s="19" t="s">
        <v>122</v>
      </c>
      <c r="B92" s="5" t="s">
        <v>15</v>
      </c>
      <c r="C92" s="5">
        <v>39.328403000000002</v>
      </c>
      <c r="D92" s="5">
        <v>-8.9820340000000005</v>
      </c>
      <c r="E92" s="5" t="s">
        <v>318</v>
      </c>
      <c r="F92" s="5" t="s">
        <v>24</v>
      </c>
      <c r="G92" s="5" t="s">
        <v>494</v>
      </c>
      <c r="H92" s="5" t="s">
        <v>578</v>
      </c>
      <c r="I92" s="5" t="s">
        <v>520</v>
      </c>
      <c r="J92" s="5" t="s">
        <v>494</v>
      </c>
      <c r="K92" s="5" t="s">
        <v>493</v>
      </c>
      <c r="L92" s="37" t="s">
        <v>460</v>
      </c>
      <c r="M92" s="5" t="s">
        <v>98</v>
      </c>
      <c r="N92" s="4"/>
      <c r="O92" s="39">
        <v>853</v>
      </c>
      <c r="P92">
        <v>35</v>
      </c>
      <c r="Q92">
        <v>107</v>
      </c>
      <c r="R92">
        <v>14</v>
      </c>
      <c r="S92" t="s">
        <v>48</v>
      </c>
    </row>
    <row r="93" spans="1:20" ht="18.600000000000001" customHeight="1" x14ac:dyDescent="0.3">
      <c r="A93" s="19" t="s">
        <v>123</v>
      </c>
      <c r="B93" s="5" t="s">
        <v>15</v>
      </c>
      <c r="C93" s="5">
        <v>39.328150000000001</v>
      </c>
      <c r="D93" s="5">
        <v>-8.9831430000000001</v>
      </c>
      <c r="E93" s="5" t="s">
        <v>186</v>
      </c>
      <c r="F93" s="5" t="s">
        <v>19</v>
      </c>
      <c r="G93" s="5" t="s">
        <v>493</v>
      </c>
      <c r="H93" s="5" t="s">
        <v>313</v>
      </c>
      <c r="I93" s="5" t="s">
        <v>495</v>
      </c>
      <c r="J93" s="5" t="s">
        <v>494</v>
      </c>
      <c r="K93" s="5" t="s">
        <v>493</v>
      </c>
      <c r="L93" s="37" t="s">
        <v>460</v>
      </c>
      <c r="M93" s="5" t="s">
        <v>121</v>
      </c>
      <c r="N93" s="4"/>
      <c r="O93" s="39">
        <v>169</v>
      </c>
      <c r="P93">
        <v>17</v>
      </c>
      <c r="Q93">
        <v>6</v>
      </c>
      <c r="R93">
        <v>0</v>
      </c>
      <c r="S93" t="s">
        <v>48</v>
      </c>
    </row>
    <row r="94" spans="1:20" ht="18" customHeight="1" x14ac:dyDescent="0.3">
      <c r="A94" s="19" t="s">
        <v>124</v>
      </c>
      <c r="B94" s="5" t="s">
        <v>15</v>
      </c>
      <c r="C94" s="5">
        <v>39.075302000000001</v>
      </c>
      <c r="D94" s="5">
        <v>-9.4019209999999998</v>
      </c>
      <c r="E94" s="5" t="s">
        <v>125</v>
      </c>
      <c r="F94" s="5" t="s">
        <v>19</v>
      </c>
      <c r="G94" s="5" t="s">
        <v>494</v>
      </c>
      <c r="H94" s="56" t="s">
        <v>579</v>
      </c>
      <c r="I94" s="5" t="s">
        <v>495</v>
      </c>
      <c r="J94" s="5" t="s">
        <v>494</v>
      </c>
      <c r="K94" s="5" t="s">
        <v>493</v>
      </c>
      <c r="L94" s="37" t="s">
        <v>463</v>
      </c>
      <c r="M94" s="5" t="s">
        <v>366</v>
      </c>
      <c r="N94" s="4"/>
      <c r="O94" s="39">
        <v>1385</v>
      </c>
      <c r="P94">
        <v>15</v>
      </c>
      <c r="Q94">
        <v>80</v>
      </c>
      <c r="R94">
        <v>2</v>
      </c>
      <c r="S94" t="s">
        <v>48</v>
      </c>
    </row>
    <row r="95" spans="1:20" s="103" customFormat="1" ht="17.399999999999999" customHeight="1" x14ac:dyDescent="0.3">
      <c r="A95" s="99" t="s">
        <v>126</v>
      </c>
      <c r="B95" s="100" t="s">
        <v>15</v>
      </c>
      <c r="C95" s="100">
        <v>40.046132</v>
      </c>
      <c r="D95" s="100">
        <v>-8.4957279999999997</v>
      </c>
      <c r="E95" s="100" t="s">
        <v>709</v>
      </c>
      <c r="F95" s="100" t="s">
        <v>24</v>
      </c>
      <c r="G95" s="100" t="s">
        <v>493</v>
      </c>
      <c r="H95" s="100" t="s">
        <v>313</v>
      </c>
      <c r="I95" s="100" t="s">
        <v>508</v>
      </c>
      <c r="J95" s="100" t="s">
        <v>494</v>
      </c>
      <c r="K95" s="100" t="s">
        <v>494</v>
      </c>
      <c r="L95" s="101" t="s">
        <v>458</v>
      </c>
      <c r="M95" s="100" t="s">
        <v>699</v>
      </c>
      <c r="N95" s="102"/>
      <c r="O95" s="76">
        <v>86</v>
      </c>
      <c r="P95" s="77">
        <v>125</v>
      </c>
      <c r="Q95" s="77">
        <v>73</v>
      </c>
      <c r="R95" s="77">
        <v>0</v>
      </c>
      <c r="S95" s="77" t="s">
        <v>711</v>
      </c>
      <c r="T95" s="78" t="s">
        <v>712</v>
      </c>
    </row>
    <row r="96" spans="1:20" s="107" customFormat="1" ht="16.8" customHeight="1" x14ac:dyDescent="0.3">
      <c r="A96" s="104" t="s">
        <v>126</v>
      </c>
      <c r="B96" s="105" t="s">
        <v>15</v>
      </c>
      <c r="C96" s="105">
        <v>40.046132</v>
      </c>
      <c r="D96" s="105">
        <v>-8495728</v>
      </c>
      <c r="E96" s="105" t="s">
        <v>710</v>
      </c>
      <c r="F96" s="105" t="s">
        <v>19</v>
      </c>
      <c r="G96" s="105" t="s">
        <v>493</v>
      </c>
      <c r="H96" s="105" t="s">
        <v>313</v>
      </c>
      <c r="I96" s="105" t="s">
        <v>508</v>
      </c>
      <c r="J96" s="105" t="s">
        <v>494</v>
      </c>
      <c r="K96" s="105" t="s">
        <v>494</v>
      </c>
      <c r="L96" s="101" t="s">
        <v>458</v>
      </c>
      <c r="M96" s="105" t="s">
        <v>700</v>
      </c>
      <c r="N96" s="106"/>
      <c r="O96" s="76">
        <v>86</v>
      </c>
      <c r="P96" s="77">
        <v>125</v>
      </c>
      <c r="Q96" s="77">
        <v>73</v>
      </c>
      <c r="R96" s="77">
        <v>0</v>
      </c>
      <c r="S96" s="77" t="s">
        <v>711</v>
      </c>
      <c r="T96" s="78" t="s">
        <v>712</v>
      </c>
    </row>
    <row r="97" spans="1:20" s="107" customFormat="1" ht="18" customHeight="1" x14ac:dyDescent="0.3">
      <c r="A97" s="104" t="s">
        <v>127</v>
      </c>
      <c r="B97" s="105" t="s">
        <v>15</v>
      </c>
      <c r="C97" s="105">
        <v>39.332869000000002</v>
      </c>
      <c r="D97" s="105">
        <v>-8.9177049999999998</v>
      </c>
      <c r="E97" s="108" t="s">
        <v>313</v>
      </c>
      <c r="F97" s="105" t="s">
        <v>35</v>
      </c>
      <c r="G97" s="105" t="s">
        <v>493</v>
      </c>
      <c r="H97" s="105" t="s">
        <v>313</v>
      </c>
      <c r="I97" s="105" t="s">
        <v>515</v>
      </c>
      <c r="J97" s="105" t="s">
        <v>494</v>
      </c>
      <c r="K97" s="105" t="s">
        <v>493</v>
      </c>
      <c r="L97" s="101" t="s">
        <v>459</v>
      </c>
      <c r="M97" s="105" t="s">
        <v>132</v>
      </c>
      <c r="N97" s="106"/>
      <c r="O97" s="109">
        <v>780</v>
      </c>
      <c r="P97" s="107">
        <v>0</v>
      </c>
      <c r="Q97" s="107">
        <v>3</v>
      </c>
      <c r="R97" s="107">
        <v>0</v>
      </c>
      <c r="S97" s="107" t="s">
        <v>629</v>
      </c>
      <c r="T97" s="110"/>
    </row>
    <row r="98" spans="1:20" s="107" customFormat="1" ht="16.8" customHeight="1" x14ac:dyDescent="0.3">
      <c r="A98" s="104" t="s">
        <v>127</v>
      </c>
      <c r="B98" s="105" t="s">
        <v>15</v>
      </c>
      <c r="C98" s="105">
        <v>39.332869000000002</v>
      </c>
      <c r="D98" s="105">
        <v>-8.9177049999999998</v>
      </c>
      <c r="E98" s="105" t="s">
        <v>313</v>
      </c>
      <c r="F98" s="105" t="s">
        <v>24</v>
      </c>
      <c r="G98" s="105" t="s">
        <v>493</v>
      </c>
      <c r="H98" s="105" t="s">
        <v>313</v>
      </c>
      <c r="I98" s="105" t="s">
        <v>515</v>
      </c>
      <c r="J98" s="105" t="s">
        <v>494</v>
      </c>
      <c r="K98" s="105" t="s">
        <v>493</v>
      </c>
      <c r="L98" s="101" t="s">
        <v>459</v>
      </c>
      <c r="M98" s="105" t="s">
        <v>132</v>
      </c>
      <c r="N98" s="106"/>
      <c r="O98" s="74"/>
      <c r="P98" s="72"/>
      <c r="Q98" s="72"/>
      <c r="R98" s="72"/>
      <c r="S98" s="72" t="s">
        <v>629</v>
      </c>
      <c r="T98" s="73" t="s">
        <v>706</v>
      </c>
    </row>
    <row r="99" spans="1:20" ht="14.4" customHeight="1" x14ac:dyDescent="0.3">
      <c r="A99" s="19" t="s">
        <v>145</v>
      </c>
      <c r="B99" s="5" t="s">
        <v>15</v>
      </c>
      <c r="C99" s="5">
        <v>39.331856999999999</v>
      </c>
      <c r="D99" s="5">
        <v>-8.9189659999999993</v>
      </c>
      <c r="E99" s="5" t="s">
        <v>313</v>
      </c>
      <c r="F99" s="5" t="s">
        <v>35</v>
      </c>
      <c r="G99" s="5" t="s">
        <v>493</v>
      </c>
      <c r="H99" s="5" t="s">
        <v>313</v>
      </c>
      <c r="I99" s="5" t="s">
        <v>495</v>
      </c>
      <c r="J99" s="5" t="s">
        <v>494</v>
      </c>
      <c r="K99" s="5" t="s">
        <v>493</v>
      </c>
      <c r="L99" s="37" t="s">
        <v>459</v>
      </c>
      <c r="M99" s="5" t="s">
        <v>128</v>
      </c>
      <c r="N99" s="4"/>
      <c r="O99" s="39">
        <v>1769</v>
      </c>
      <c r="P99">
        <v>3</v>
      </c>
      <c r="Q99">
        <v>13</v>
      </c>
      <c r="R99">
        <v>0</v>
      </c>
      <c r="S99" t="s">
        <v>477</v>
      </c>
    </row>
    <row r="100" spans="1:20" ht="15.6" customHeight="1" x14ac:dyDescent="0.3">
      <c r="A100" s="19" t="s">
        <v>129</v>
      </c>
      <c r="B100" s="5" t="s">
        <v>15</v>
      </c>
      <c r="C100" s="5">
        <v>39.344726000000001</v>
      </c>
      <c r="D100" s="5">
        <v>-8.9913410000000002</v>
      </c>
      <c r="E100" s="5" t="s">
        <v>18</v>
      </c>
      <c r="F100" s="5" t="s">
        <v>24</v>
      </c>
      <c r="G100" s="5" t="s">
        <v>493</v>
      </c>
      <c r="H100" s="5" t="s">
        <v>313</v>
      </c>
      <c r="I100" s="5" t="s">
        <v>514</v>
      </c>
      <c r="J100" s="5" t="s">
        <v>494</v>
      </c>
      <c r="K100" s="5" t="s">
        <v>493</v>
      </c>
      <c r="L100" s="37" t="s">
        <v>460</v>
      </c>
      <c r="M100" s="5" t="s">
        <v>130</v>
      </c>
      <c r="N100" s="4"/>
      <c r="O100" s="39">
        <v>2148</v>
      </c>
      <c r="P100">
        <v>9</v>
      </c>
      <c r="Q100">
        <v>2</v>
      </c>
      <c r="R100">
        <v>1</v>
      </c>
      <c r="S100" t="s">
        <v>48</v>
      </c>
    </row>
    <row r="101" spans="1:20" x14ac:dyDescent="0.3">
      <c r="A101" s="19" t="s">
        <v>131</v>
      </c>
      <c r="B101" s="5" t="s">
        <v>15</v>
      </c>
      <c r="C101" s="5">
        <v>39.351531000000001</v>
      </c>
      <c r="D101" s="5">
        <v>-8.9335629999999995</v>
      </c>
      <c r="E101" s="5" t="s">
        <v>313</v>
      </c>
      <c r="F101" s="5" t="s">
        <v>35</v>
      </c>
      <c r="G101" s="5" t="s">
        <v>493</v>
      </c>
      <c r="H101" s="5" t="s">
        <v>313</v>
      </c>
      <c r="I101" s="5" t="s">
        <v>495</v>
      </c>
      <c r="J101" s="5" t="s">
        <v>494</v>
      </c>
      <c r="K101" s="5" t="s">
        <v>493</v>
      </c>
      <c r="L101" s="37" t="s">
        <v>459</v>
      </c>
      <c r="M101" s="5" t="s">
        <v>132</v>
      </c>
      <c r="N101" s="4"/>
      <c r="O101" s="39">
        <v>3153</v>
      </c>
      <c r="P101">
        <v>4</v>
      </c>
      <c r="Q101">
        <v>16</v>
      </c>
      <c r="S101" t="s">
        <v>48</v>
      </c>
    </row>
    <row r="102" spans="1:20" x14ac:dyDescent="0.3">
      <c r="A102" s="19" t="s">
        <v>131</v>
      </c>
      <c r="B102" s="5" t="s">
        <v>15</v>
      </c>
      <c r="C102" s="5">
        <v>39.351531000000001</v>
      </c>
      <c r="D102" s="5">
        <v>-8.9335629999999995</v>
      </c>
      <c r="E102" s="5" t="s">
        <v>313</v>
      </c>
      <c r="F102" s="5" t="s">
        <v>24</v>
      </c>
      <c r="G102" s="5" t="s">
        <v>493</v>
      </c>
      <c r="H102" s="5" t="s">
        <v>313</v>
      </c>
      <c r="I102" s="5" t="s">
        <v>515</v>
      </c>
      <c r="J102" s="5" t="s">
        <v>494</v>
      </c>
      <c r="K102" s="5" t="s">
        <v>493</v>
      </c>
      <c r="L102" s="37" t="s">
        <v>459</v>
      </c>
      <c r="M102" s="5" t="s">
        <v>42</v>
      </c>
      <c r="N102" s="4"/>
      <c r="O102" s="39">
        <v>199</v>
      </c>
      <c r="P102">
        <v>0</v>
      </c>
      <c r="Q102">
        <v>7</v>
      </c>
      <c r="R102">
        <v>0</v>
      </c>
      <c r="S102" t="s">
        <v>48</v>
      </c>
    </row>
    <row r="103" spans="1:20" ht="16.2" customHeight="1" x14ac:dyDescent="0.3">
      <c r="A103" s="19" t="s">
        <v>719</v>
      </c>
      <c r="B103" s="5" t="s">
        <v>15</v>
      </c>
      <c r="C103" s="5">
        <v>39.641950999999999</v>
      </c>
      <c r="D103" s="5">
        <v>-7.6992599999999998</v>
      </c>
      <c r="E103" s="5" t="s">
        <v>327</v>
      </c>
      <c r="F103" s="5" t="s">
        <v>6</v>
      </c>
      <c r="G103" s="5" t="s">
        <v>494</v>
      </c>
      <c r="H103" s="5" t="s">
        <v>580</v>
      </c>
      <c r="I103" s="5" t="s">
        <v>495</v>
      </c>
      <c r="J103" s="5" t="s">
        <v>494</v>
      </c>
      <c r="K103" s="5" t="s">
        <v>493</v>
      </c>
      <c r="L103" s="37" t="s">
        <v>460</v>
      </c>
      <c r="M103" s="5" t="s">
        <v>134</v>
      </c>
      <c r="N103" s="4"/>
      <c r="O103" s="39" t="s">
        <v>507</v>
      </c>
      <c r="P103" s="4" t="s">
        <v>500</v>
      </c>
      <c r="Q103" s="4" t="s">
        <v>507</v>
      </c>
      <c r="R103" s="4" t="s">
        <v>500</v>
      </c>
      <c r="S103" s="4" t="s">
        <v>713</v>
      </c>
      <c r="T103" s="40" t="s">
        <v>714</v>
      </c>
    </row>
    <row r="104" spans="1:20" x14ac:dyDescent="0.3">
      <c r="A104" s="19" t="s">
        <v>150</v>
      </c>
      <c r="B104" s="5" t="s">
        <v>15</v>
      </c>
      <c r="C104" s="5">
        <v>40.282223999999999</v>
      </c>
      <c r="D104" s="5">
        <v>-8.5527719999999992</v>
      </c>
      <c r="E104" s="5" t="s">
        <v>18</v>
      </c>
      <c r="F104" s="5" t="s">
        <v>6</v>
      </c>
      <c r="G104" s="5" t="s">
        <v>493</v>
      </c>
      <c r="H104" s="5" t="s">
        <v>313</v>
      </c>
      <c r="I104" s="5" t="s">
        <v>512</v>
      </c>
      <c r="J104" s="5" t="s">
        <v>493</v>
      </c>
      <c r="K104" s="5" t="s">
        <v>493</v>
      </c>
      <c r="L104" s="37" t="s">
        <v>459</v>
      </c>
      <c r="M104" s="5" t="s">
        <v>161</v>
      </c>
      <c r="N104" s="4" t="s">
        <v>328</v>
      </c>
      <c r="O104" s="39" t="s">
        <v>394</v>
      </c>
      <c r="P104" s="4" t="s">
        <v>500</v>
      </c>
      <c r="Q104" s="4" t="s">
        <v>500</v>
      </c>
      <c r="R104" s="4" t="s">
        <v>500</v>
      </c>
      <c r="S104" s="4" t="s">
        <v>715</v>
      </c>
      <c r="T104" s="40" t="s">
        <v>716</v>
      </c>
    </row>
    <row r="105" spans="1:20" x14ac:dyDescent="0.3">
      <c r="A105" s="19" t="s">
        <v>151</v>
      </c>
      <c r="B105" s="5" t="s">
        <v>15</v>
      </c>
      <c r="C105" s="5">
        <v>39.244917000000001</v>
      </c>
      <c r="D105" s="5">
        <v>-8.5778110000000005</v>
      </c>
      <c r="E105" s="5" t="s">
        <v>329</v>
      </c>
      <c r="F105" s="5" t="s">
        <v>6</v>
      </c>
      <c r="G105" s="5" t="s">
        <v>494</v>
      </c>
      <c r="H105" s="5" t="s">
        <v>581</v>
      </c>
      <c r="I105" s="5" t="s">
        <v>495</v>
      </c>
      <c r="J105" s="5" t="s">
        <v>494</v>
      </c>
      <c r="K105" s="5" t="s">
        <v>493</v>
      </c>
      <c r="L105" s="37" t="s">
        <v>463</v>
      </c>
      <c r="M105" s="5" t="s">
        <v>162</v>
      </c>
      <c r="N105" s="4"/>
      <c r="O105" s="39" t="s">
        <v>507</v>
      </c>
      <c r="P105" s="4" t="s">
        <v>507</v>
      </c>
      <c r="Q105" t="s">
        <v>394</v>
      </c>
      <c r="R105" s="4" t="s">
        <v>500</v>
      </c>
      <c r="S105" t="s">
        <v>717</v>
      </c>
      <c r="T105" s="40" t="s">
        <v>718</v>
      </c>
    </row>
    <row r="106" spans="1:20" s="59" customFormat="1" ht="15" thickBot="1" x14ac:dyDescent="0.35">
      <c r="A106" s="21" t="s">
        <v>152</v>
      </c>
      <c r="B106" s="12" t="s">
        <v>15</v>
      </c>
      <c r="C106" s="12">
        <v>37.049706</v>
      </c>
      <c r="D106" s="12">
        <v>-8.9613619999999994</v>
      </c>
      <c r="E106" s="12" t="s">
        <v>18</v>
      </c>
      <c r="F106" s="12" t="s">
        <v>6</v>
      </c>
      <c r="G106" s="12" t="s">
        <v>493</v>
      </c>
      <c r="H106" s="12" t="s">
        <v>313</v>
      </c>
      <c r="I106" s="12" t="s">
        <v>661</v>
      </c>
      <c r="J106" s="12" t="s">
        <v>494</v>
      </c>
      <c r="K106" s="12" t="s">
        <v>493</v>
      </c>
      <c r="L106" s="37" t="s">
        <v>459</v>
      </c>
      <c r="M106" s="12" t="s">
        <v>660</v>
      </c>
      <c r="N106" s="57"/>
      <c r="O106" s="58" t="s">
        <v>394</v>
      </c>
      <c r="P106" s="59" t="s">
        <v>500</v>
      </c>
      <c r="Q106" s="59" t="s">
        <v>500</v>
      </c>
      <c r="R106" s="59" t="s">
        <v>500</v>
      </c>
      <c r="S106" s="59" t="s">
        <v>659</v>
      </c>
      <c r="T106" s="60"/>
    </row>
    <row r="107" spans="1:20" s="81" customFormat="1" x14ac:dyDescent="0.3">
      <c r="A107" s="87" t="s">
        <v>163</v>
      </c>
      <c r="B107" s="88" t="s">
        <v>5</v>
      </c>
      <c r="C107" s="88">
        <v>38.813507999999999</v>
      </c>
      <c r="D107" s="88">
        <v>7.7501E-2</v>
      </c>
      <c r="E107" s="88" t="s">
        <v>313</v>
      </c>
      <c r="F107" s="88" t="s">
        <v>19</v>
      </c>
      <c r="G107" s="88" t="s">
        <v>493</v>
      </c>
      <c r="H107" s="88" t="s">
        <v>313</v>
      </c>
      <c r="I107" s="88" t="s">
        <v>313</v>
      </c>
      <c r="J107" s="88" t="s">
        <v>313</v>
      </c>
      <c r="K107" s="88" t="s">
        <v>313</v>
      </c>
      <c r="L107" s="86" t="s">
        <v>467</v>
      </c>
      <c r="M107" s="88" t="s">
        <v>164</v>
      </c>
      <c r="N107" s="89"/>
      <c r="O107" s="80"/>
      <c r="T107" s="82" t="s">
        <v>729</v>
      </c>
    </row>
    <row r="108" spans="1:20" x14ac:dyDescent="0.3">
      <c r="A108" s="5" t="s">
        <v>188</v>
      </c>
      <c r="B108" s="5" t="s">
        <v>23</v>
      </c>
      <c r="C108" s="5">
        <v>39.059376999999998</v>
      </c>
      <c r="D108" s="5">
        <v>-0.24986800000000001</v>
      </c>
      <c r="E108" s="5" t="s">
        <v>731</v>
      </c>
      <c r="F108" s="5" t="s">
        <v>6</v>
      </c>
      <c r="G108" s="5" t="s">
        <v>494</v>
      </c>
      <c r="H108" s="5" t="s">
        <v>732</v>
      </c>
      <c r="I108" s="5" t="s">
        <v>730</v>
      </c>
      <c r="J108" s="5" t="s">
        <v>494</v>
      </c>
      <c r="K108" s="5" t="s">
        <v>494</v>
      </c>
      <c r="L108" s="37" t="s">
        <v>464</v>
      </c>
      <c r="M108" s="5" t="s">
        <v>733</v>
      </c>
      <c r="N108" s="4" t="s">
        <v>218</v>
      </c>
      <c r="O108" s="69">
        <v>0.93320000000000003</v>
      </c>
      <c r="P108" s="70">
        <v>0</v>
      </c>
      <c r="Q108" s="70">
        <v>9.7999999999999997E-3</v>
      </c>
      <c r="R108" s="70">
        <v>5.4800000000000001E-2</v>
      </c>
      <c r="S108" t="s">
        <v>734</v>
      </c>
      <c r="T108" s="40" t="s">
        <v>736</v>
      </c>
    </row>
    <row r="109" spans="1:20" x14ac:dyDescent="0.3">
      <c r="A109" s="5" t="s">
        <v>189</v>
      </c>
      <c r="B109" s="5" t="s">
        <v>23</v>
      </c>
      <c r="C109" s="5">
        <v>38.641019</v>
      </c>
      <c r="D109" s="5">
        <v>-0.85829999999999995</v>
      </c>
      <c r="E109" s="5" t="s">
        <v>190</v>
      </c>
      <c r="F109" s="5" t="s">
        <v>6</v>
      </c>
      <c r="G109" s="5" t="s">
        <v>493</v>
      </c>
      <c r="H109" s="5" t="s">
        <v>313</v>
      </c>
      <c r="I109" s="5" t="s">
        <v>512</v>
      </c>
      <c r="J109" s="5" t="s">
        <v>494</v>
      </c>
      <c r="K109" s="5" t="s">
        <v>494</v>
      </c>
      <c r="L109" s="37" t="s">
        <v>469</v>
      </c>
      <c r="M109" s="5" t="s">
        <v>299</v>
      </c>
      <c r="N109" s="4"/>
      <c r="O109" s="39">
        <v>157</v>
      </c>
      <c r="P109">
        <v>0</v>
      </c>
      <c r="Q109">
        <v>0</v>
      </c>
      <c r="R109">
        <v>0</v>
      </c>
      <c r="S109" t="s">
        <v>735</v>
      </c>
    </row>
    <row r="110" spans="1:20" s="107" customFormat="1" x14ac:dyDescent="0.3">
      <c r="A110" s="105" t="s">
        <v>191</v>
      </c>
      <c r="B110" s="105" t="s">
        <v>5</v>
      </c>
      <c r="C110" s="105">
        <v>36.713194000000001</v>
      </c>
      <c r="D110" s="105">
        <v>-4.3197020000000004</v>
      </c>
      <c r="E110" s="105" t="s">
        <v>192</v>
      </c>
      <c r="F110" s="105" t="s">
        <v>6</v>
      </c>
      <c r="G110" s="105" t="s">
        <v>493</v>
      </c>
      <c r="H110" s="105" t="s">
        <v>313</v>
      </c>
      <c r="I110" s="105" t="s">
        <v>512</v>
      </c>
      <c r="J110" s="105" t="s">
        <v>494</v>
      </c>
      <c r="K110" s="105" t="s">
        <v>493</v>
      </c>
      <c r="L110" s="101" t="s">
        <v>463</v>
      </c>
      <c r="M110" s="105" t="s">
        <v>193</v>
      </c>
      <c r="N110" s="106"/>
      <c r="O110" s="74" t="s">
        <v>394</v>
      </c>
      <c r="P110" s="71" t="s">
        <v>500</v>
      </c>
      <c r="Q110" s="71" t="s">
        <v>500</v>
      </c>
      <c r="R110" s="71" t="s">
        <v>500</v>
      </c>
      <c r="S110" s="72" t="s">
        <v>738</v>
      </c>
      <c r="T110" s="73" t="s">
        <v>739</v>
      </c>
    </row>
    <row r="111" spans="1:20" s="72" customFormat="1" x14ac:dyDescent="0.3">
      <c r="A111" s="18" t="s">
        <v>194</v>
      </c>
      <c r="B111" s="18" t="s">
        <v>5</v>
      </c>
      <c r="C111" s="18">
        <v>38.811422</v>
      </c>
      <c r="D111" s="18">
        <v>8.9177000000000006E-2</v>
      </c>
      <c r="E111" s="18" t="s">
        <v>331</v>
      </c>
      <c r="F111" s="18" t="s">
        <v>19</v>
      </c>
      <c r="G111" s="18" t="s">
        <v>493</v>
      </c>
      <c r="H111" s="18" t="s">
        <v>313</v>
      </c>
      <c r="I111" s="18" t="s">
        <v>313</v>
      </c>
      <c r="J111" s="18" t="s">
        <v>313</v>
      </c>
      <c r="K111" s="18" t="s">
        <v>313</v>
      </c>
      <c r="L111" s="86" t="s">
        <v>470</v>
      </c>
      <c r="M111" s="18" t="s">
        <v>330</v>
      </c>
      <c r="N111" s="71"/>
      <c r="O111" s="74"/>
      <c r="T111" s="73" t="s">
        <v>740</v>
      </c>
    </row>
    <row r="112" spans="1:20" x14ac:dyDescent="0.3">
      <c r="A112" s="5" t="s">
        <v>195</v>
      </c>
      <c r="B112" s="5" t="s">
        <v>23</v>
      </c>
      <c r="C112" s="5">
        <v>38.685899999999997</v>
      </c>
      <c r="D112" s="5">
        <v>0.1522</v>
      </c>
      <c r="E112" s="5" t="s">
        <v>196</v>
      </c>
      <c r="F112" s="5" t="s">
        <v>24</v>
      </c>
      <c r="G112" s="5" t="s">
        <v>494</v>
      </c>
      <c r="H112" s="5" t="s">
        <v>582</v>
      </c>
      <c r="I112" s="5" t="s">
        <v>522</v>
      </c>
      <c r="J112" s="5" t="s">
        <v>494</v>
      </c>
      <c r="K112" s="5" t="s">
        <v>494</v>
      </c>
      <c r="L112" s="37" t="s">
        <v>470</v>
      </c>
      <c r="M112" s="5" t="s">
        <v>742</v>
      </c>
      <c r="N112" s="4"/>
      <c r="O112" s="84">
        <v>0.98699999999999999</v>
      </c>
      <c r="P112" s="83">
        <v>0</v>
      </c>
      <c r="Q112" s="83">
        <v>0</v>
      </c>
      <c r="R112" s="85">
        <v>1.9E-2</v>
      </c>
      <c r="S112" s="4" t="s">
        <v>744</v>
      </c>
    </row>
    <row r="113" spans="1:20" x14ac:dyDescent="0.3">
      <c r="A113" s="5" t="s">
        <v>195</v>
      </c>
      <c r="B113" s="5" t="s">
        <v>23</v>
      </c>
      <c r="C113" s="5">
        <v>38.685899999999997</v>
      </c>
      <c r="D113" s="5">
        <v>0.1522</v>
      </c>
      <c r="E113" s="5" t="s">
        <v>741</v>
      </c>
      <c r="F113" s="5" t="s">
        <v>19</v>
      </c>
      <c r="G113" s="5" t="s">
        <v>7</v>
      </c>
      <c r="H113" s="5" t="s">
        <v>583</v>
      </c>
      <c r="I113" s="5" t="s">
        <v>508</v>
      </c>
      <c r="J113" s="5" t="s">
        <v>494</v>
      </c>
      <c r="K113" s="5" t="s">
        <v>494</v>
      </c>
      <c r="L113" s="37" t="s">
        <v>470</v>
      </c>
      <c r="M113" s="5" t="s">
        <v>197</v>
      </c>
      <c r="N113" s="4"/>
      <c r="O113" s="39" t="s">
        <v>394</v>
      </c>
      <c r="P113" s="4" t="s">
        <v>628</v>
      </c>
      <c r="Q113" s="4" t="s">
        <v>628</v>
      </c>
      <c r="R113" s="4" t="s">
        <v>500</v>
      </c>
      <c r="S113" s="4" t="s">
        <v>743</v>
      </c>
    </row>
    <row r="114" spans="1:20" x14ac:dyDescent="0.3">
      <c r="A114" s="5" t="s">
        <v>240</v>
      </c>
      <c r="B114" s="5" t="s">
        <v>23</v>
      </c>
      <c r="C114" s="5">
        <v>38.813999000000003</v>
      </c>
      <c r="D114" s="5">
        <v>-0.170094</v>
      </c>
      <c r="E114" s="5" t="s">
        <v>745</v>
      </c>
      <c r="F114" s="5" t="s">
        <v>35</v>
      </c>
      <c r="G114" s="5" t="s">
        <v>494</v>
      </c>
      <c r="H114" s="5" t="s">
        <v>584</v>
      </c>
      <c r="I114" s="5" t="s">
        <v>508</v>
      </c>
      <c r="J114" s="5" t="s">
        <v>313</v>
      </c>
      <c r="K114" s="5" t="s">
        <v>494</v>
      </c>
      <c r="L114" s="37" t="s">
        <v>470</v>
      </c>
      <c r="M114" s="5" t="s">
        <v>242</v>
      </c>
      <c r="N114" s="4" t="s">
        <v>218</v>
      </c>
      <c r="O114" s="39">
        <v>894</v>
      </c>
      <c r="P114">
        <v>0</v>
      </c>
      <c r="Q114">
        <v>24</v>
      </c>
      <c r="R114">
        <v>0</v>
      </c>
      <c r="S114" t="s">
        <v>746</v>
      </c>
    </row>
    <row r="115" spans="1:20" s="72" customFormat="1" x14ac:dyDescent="0.3">
      <c r="A115" s="18" t="s">
        <v>240</v>
      </c>
      <c r="B115" s="18" t="s">
        <v>23</v>
      </c>
      <c r="C115" s="18">
        <v>38.813999000000003</v>
      </c>
      <c r="D115" s="18">
        <v>-0.170094</v>
      </c>
      <c r="E115" s="18"/>
      <c r="F115" s="18" t="s">
        <v>6</v>
      </c>
      <c r="G115" s="18" t="s">
        <v>494</v>
      </c>
      <c r="H115" s="18" t="s">
        <v>585</v>
      </c>
      <c r="I115" s="18" t="s">
        <v>313</v>
      </c>
      <c r="J115" s="18" t="s">
        <v>313</v>
      </c>
      <c r="K115" s="18" t="s">
        <v>494</v>
      </c>
      <c r="L115" s="86" t="s">
        <v>470</v>
      </c>
      <c r="M115" s="18" t="s">
        <v>243</v>
      </c>
      <c r="N115" s="71"/>
      <c r="O115" s="74"/>
      <c r="T115" s="73" t="s">
        <v>747</v>
      </c>
    </row>
    <row r="116" spans="1:20" x14ac:dyDescent="0.3">
      <c r="A116" s="5" t="s">
        <v>199</v>
      </c>
      <c r="B116" s="5" t="s">
        <v>23</v>
      </c>
      <c r="C116" s="5">
        <v>38.992750999999998</v>
      </c>
      <c r="D116" s="5">
        <v>-0.22727</v>
      </c>
      <c r="E116" s="5" t="s">
        <v>332</v>
      </c>
      <c r="F116" s="5" t="s">
        <v>19</v>
      </c>
      <c r="G116" s="5" t="s">
        <v>493</v>
      </c>
      <c r="H116" s="5" t="s">
        <v>313</v>
      </c>
      <c r="I116" s="5" t="s">
        <v>521</v>
      </c>
      <c r="J116" s="5" t="s">
        <v>494</v>
      </c>
      <c r="K116" s="5" t="s">
        <v>494</v>
      </c>
      <c r="L116" s="37" t="s">
        <v>460</v>
      </c>
      <c r="M116" s="5" t="s">
        <v>200</v>
      </c>
      <c r="N116" s="4"/>
      <c r="O116" s="39">
        <v>104</v>
      </c>
      <c r="P116">
        <v>0</v>
      </c>
      <c r="Q116">
        <v>0</v>
      </c>
      <c r="R116">
        <v>1</v>
      </c>
      <c r="S116" t="s">
        <v>748</v>
      </c>
    </row>
    <row r="117" spans="1:20" x14ac:dyDescent="0.3">
      <c r="A117" s="5" t="s">
        <v>198</v>
      </c>
      <c r="B117" s="5" t="s">
        <v>23</v>
      </c>
      <c r="C117" s="61" t="s">
        <v>303</v>
      </c>
      <c r="D117" s="61">
        <v>-0.22714999999999999</v>
      </c>
      <c r="E117" s="5" t="s">
        <v>331</v>
      </c>
      <c r="F117" s="5" t="s">
        <v>19</v>
      </c>
      <c r="G117" s="5" t="s">
        <v>493</v>
      </c>
      <c r="H117" s="5" t="s">
        <v>313</v>
      </c>
      <c r="I117" s="5" t="s">
        <v>512</v>
      </c>
      <c r="J117" s="5" t="s">
        <v>494</v>
      </c>
      <c r="K117" s="5" t="s">
        <v>494</v>
      </c>
      <c r="L117" s="37" t="s">
        <v>464</v>
      </c>
      <c r="M117" s="5" t="s">
        <v>367</v>
      </c>
      <c r="N117" s="4"/>
      <c r="O117" s="39">
        <v>3</v>
      </c>
      <c r="P117">
        <v>0</v>
      </c>
      <c r="Q117">
        <v>0</v>
      </c>
      <c r="R117">
        <v>0</v>
      </c>
      <c r="S117" t="s">
        <v>749</v>
      </c>
    </row>
    <row r="118" spans="1:20" x14ac:dyDescent="0.3">
      <c r="A118" s="5" t="s">
        <v>201</v>
      </c>
      <c r="B118" s="5" t="s">
        <v>23</v>
      </c>
      <c r="C118" s="61" t="s">
        <v>304</v>
      </c>
      <c r="D118" s="61" t="s">
        <v>305</v>
      </c>
      <c r="E118" s="5" t="s">
        <v>202</v>
      </c>
      <c r="F118" s="5" t="s">
        <v>19</v>
      </c>
      <c r="G118" s="5" t="s">
        <v>494</v>
      </c>
      <c r="H118" s="5" t="s">
        <v>586</v>
      </c>
      <c r="I118" s="5" t="s">
        <v>508</v>
      </c>
      <c r="J118" s="5" t="s">
        <v>494</v>
      </c>
      <c r="K118" s="5" t="s">
        <v>494</v>
      </c>
      <c r="L118" s="37" t="s">
        <v>471</v>
      </c>
      <c r="M118" s="5" t="s">
        <v>751</v>
      </c>
      <c r="N118" s="4"/>
      <c r="O118" s="39">
        <v>606</v>
      </c>
      <c r="P118">
        <v>0</v>
      </c>
      <c r="Q118">
        <v>0</v>
      </c>
      <c r="R118">
        <v>0</v>
      </c>
      <c r="S118" t="s">
        <v>752</v>
      </c>
      <c r="T118" s="40" t="s">
        <v>750</v>
      </c>
    </row>
    <row r="119" spans="1:20" x14ac:dyDescent="0.3">
      <c r="A119" s="5" t="s">
        <v>203</v>
      </c>
      <c r="B119" s="5" t="s">
        <v>23</v>
      </c>
      <c r="C119" s="5">
        <v>38.982883999999999</v>
      </c>
      <c r="D119" s="5" t="s">
        <v>306</v>
      </c>
      <c r="E119" s="5" t="s">
        <v>204</v>
      </c>
      <c r="F119" s="5" t="s">
        <v>6</v>
      </c>
      <c r="G119" s="5" t="s">
        <v>493</v>
      </c>
      <c r="H119" s="5" t="s">
        <v>313</v>
      </c>
      <c r="I119" s="5" t="s">
        <v>523</v>
      </c>
      <c r="J119" s="5" t="s">
        <v>494</v>
      </c>
      <c r="K119" s="5" t="s">
        <v>494</v>
      </c>
      <c r="L119" s="37" t="s">
        <v>458</v>
      </c>
      <c r="M119" s="5" t="s">
        <v>207</v>
      </c>
      <c r="N119" s="4"/>
      <c r="O119" s="39">
        <v>2957</v>
      </c>
      <c r="P119">
        <v>0</v>
      </c>
      <c r="Q119">
        <v>96</v>
      </c>
      <c r="R119">
        <v>97</v>
      </c>
      <c r="S119" t="s">
        <v>735</v>
      </c>
      <c r="T119" s="40" t="s">
        <v>755</v>
      </c>
    </row>
    <row r="120" spans="1:20" x14ac:dyDescent="0.3">
      <c r="A120" s="5" t="s">
        <v>203</v>
      </c>
      <c r="B120" s="5" t="s">
        <v>23</v>
      </c>
      <c r="C120" s="5">
        <v>38.982883999999999</v>
      </c>
      <c r="D120" s="5" t="s">
        <v>307</v>
      </c>
      <c r="E120" s="5" t="s">
        <v>753</v>
      </c>
      <c r="F120" s="5" t="s">
        <v>35</v>
      </c>
      <c r="G120" s="5" t="s">
        <v>493</v>
      </c>
      <c r="H120" s="5" t="s">
        <v>313</v>
      </c>
      <c r="I120" s="5" t="s">
        <v>523</v>
      </c>
      <c r="J120" s="5" t="s">
        <v>494</v>
      </c>
      <c r="K120" s="5" t="s">
        <v>494</v>
      </c>
      <c r="L120" s="37" t="s">
        <v>458</v>
      </c>
      <c r="M120" s="5" t="s">
        <v>207</v>
      </c>
      <c r="N120" s="4"/>
      <c r="O120" s="39">
        <v>202</v>
      </c>
      <c r="P120">
        <v>0</v>
      </c>
      <c r="Q120">
        <v>1</v>
      </c>
      <c r="R120">
        <v>32</v>
      </c>
      <c r="S120" t="s">
        <v>754</v>
      </c>
    </row>
    <row r="121" spans="1:20" x14ac:dyDescent="0.3">
      <c r="A121" s="5" t="s">
        <v>756</v>
      </c>
      <c r="B121" s="5" t="s">
        <v>23</v>
      </c>
      <c r="C121" s="5">
        <v>37.587899999999998</v>
      </c>
      <c r="D121" s="5">
        <v>-0.10335999999999999</v>
      </c>
      <c r="E121" s="5" t="s">
        <v>313</v>
      </c>
      <c r="F121" s="5" t="s">
        <v>6</v>
      </c>
      <c r="G121" s="5" t="s">
        <v>493</v>
      </c>
      <c r="H121" s="5" t="s">
        <v>313</v>
      </c>
      <c r="I121" s="5" t="s">
        <v>515</v>
      </c>
      <c r="J121" s="5" t="s">
        <v>494</v>
      </c>
      <c r="K121" s="5" t="s">
        <v>494</v>
      </c>
      <c r="L121" s="37" t="s">
        <v>465</v>
      </c>
      <c r="M121" s="5" t="s">
        <v>761</v>
      </c>
      <c r="N121" s="4"/>
      <c r="O121" s="39" t="s">
        <v>313</v>
      </c>
      <c r="P121" s="4" t="s">
        <v>313</v>
      </c>
      <c r="Q121" s="4" t="s">
        <v>313</v>
      </c>
      <c r="R121" s="4" t="s">
        <v>313</v>
      </c>
      <c r="S121" t="s">
        <v>762</v>
      </c>
      <c r="T121" s="40" t="s">
        <v>757</v>
      </c>
    </row>
    <row r="122" spans="1:20" x14ac:dyDescent="0.3">
      <c r="A122" s="5" t="s">
        <v>756</v>
      </c>
      <c r="B122" s="5" t="s">
        <v>23</v>
      </c>
      <c r="C122" s="5">
        <v>37.587899999999998</v>
      </c>
      <c r="D122" s="5">
        <v>-0.10335999999999999</v>
      </c>
      <c r="E122" s="5" t="s">
        <v>313</v>
      </c>
      <c r="F122" s="5" t="s">
        <v>19</v>
      </c>
      <c r="G122" s="5" t="s">
        <v>493</v>
      </c>
      <c r="H122" s="5" t="s">
        <v>313</v>
      </c>
      <c r="I122" s="5" t="s">
        <v>515</v>
      </c>
      <c r="J122" s="5" t="s">
        <v>494</v>
      </c>
      <c r="K122" s="5" t="s">
        <v>494</v>
      </c>
      <c r="L122" s="37" t="s">
        <v>465</v>
      </c>
      <c r="M122" s="5" t="s">
        <v>760</v>
      </c>
      <c r="N122" s="4"/>
      <c r="O122" s="69">
        <v>0.75790000000000002</v>
      </c>
      <c r="P122" s="70">
        <v>0.23130000000000001</v>
      </c>
      <c r="Q122" s="70">
        <v>2.1399999999999999E-2</v>
      </c>
      <c r="R122" s="44">
        <v>0</v>
      </c>
      <c r="S122" t="s">
        <v>762</v>
      </c>
    </row>
    <row r="123" spans="1:20" x14ac:dyDescent="0.3">
      <c r="A123" s="5" t="s">
        <v>206</v>
      </c>
      <c r="B123" s="5" t="s">
        <v>23</v>
      </c>
      <c r="C123" s="5">
        <v>38.941903000000003</v>
      </c>
      <c r="D123" s="5">
        <v>-0.20353199999999999</v>
      </c>
      <c r="E123" s="5" t="s">
        <v>313</v>
      </c>
      <c r="F123" s="5" t="s">
        <v>19</v>
      </c>
      <c r="G123" s="5" t="s">
        <v>493</v>
      </c>
      <c r="H123" s="5" t="s">
        <v>313</v>
      </c>
      <c r="I123" s="5" t="s">
        <v>313</v>
      </c>
      <c r="J123" s="5" t="s">
        <v>494</v>
      </c>
      <c r="K123" s="5" t="s">
        <v>313</v>
      </c>
      <c r="L123" s="37" t="s">
        <v>459</v>
      </c>
      <c r="M123" s="5" t="s">
        <v>281</v>
      </c>
      <c r="N123" s="4" t="s">
        <v>282</v>
      </c>
      <c r="O123" s="39" t="s">
        <v>313</v>
      </c>
      <c r="P123" s="4" t="s">
        <v>313</v>
      </c>
      <c r="Q123" t="s">
        <v>313</v>
      </c>
      <c r="R123" t="s">
        <v>313</v>
      </c>
      <c r="S123" t="s">
        <v>758</v>
      </c>
      <c r="T123" s="40" t="s">
        <v>757</v>
      </c>
    </row>
    <row r="124" spans="1:20" x14ac:dyDescent="0.3">
      <c r="A124" s="5" t="s">
        <v>211</v>
      </c>
      <c r="B124" s="5" t="s">
        <v>5</v>
      </c>
      <c r="C124" s="5">
        <v>37.534999999999997</v>
      </c>
      <c r="D124" s="5">
        <v>-1.42</v>
      </c>
      <c r="E124" s="5" t="s">
        <v>763</v>
      </c>
      <c r="F124" s="5" t="s">
        <v>35</v>
      </c>
      <c r="G124" s="5" t="s">
        <v>493</v>
      </c>
      <c r="H124" s="5" t="s">
        <v>313</v>
      </c>
      <c r="I124" s="5" t="s">
        <v>523</v>
      </c>
      <c r="J124" s="5" t="s">
        <v>494</v>
      </c>
      <c r="K124" s="5" t="s">
        <v>494</v>
      </c>
      <c r="L124" s="37" t="s">
        <v>459</v>
      </c>
      <c r="M124" s="5" t="s">
        <v>765</v>
      </c>
      <c r="N124" s="4"/>
      <c r="O124" s="69">
        <v>0.10199999999999999</v>
      </c>
      <c r="P124" s="85">
        <v>0.84550000000000003</v>
      </c>
      <c r="Q124" s="83">
        <v>0</v>
      </c>
      <c r="R124" s="85">
        <v>5.0999999999999997E-2</v>
      </c>
      <c r="S124" s="4" t="s">
        <v>767</v>
      </c>
      <c r="T124" s="40" t="s">
        <v>769</v>
      </c>
    </row>
    <row r="125" spans="1:20" ht="15.6" x14ac:dyDescent="0.3">
      <c r="A125" s="5" t="s">
        <v>212</v>
      </c>
      <c r="B125" s="5" t="s">
        <v>5</v>
      </c>
      <c r="C125" s="5">
        <v>37.53</v>
      </c>
      <c r="D125" s="5">
        <v>-1.42</v>
      </c>
      <c r="E125" s="45" t="s">
        <v>764</v>
      </c>
      <c r="F125" s="5" t="s">
        <v>6</v>
      </c>
      <c r="G125" s="5" t="s">
        <v>493</v>
      </c>
      <c r="H125" s="5" t="s">
        <v>313</v>
      </c>
      <c r="I125" s="5" t="s">
        <v>523</v>
      </c>
      <c r="J125" s="5" t="s">
        <v>494</v>
      </c>
      <c r="K125" s="5" t="s">
        <v>494</v>
      </c>
      <c r="L125" s="37" t="s">
        <v>459</v>
      </c>
      <c r="M125" s="5" t="s">
        <v>766</v>
      </c>
      <c r="N125" s="4"/>
      <c r="O125" s="69">
        <v>0.10199999999999999</v>
      </c>
      <c r="P125" s="85">
        <v>0.84550000000000003</v>
      </c>
      <c r="Q125" s="83">
        <v>0</v>
      </c>
      <c r="R125" s="85">
        <v>5.0999999999999997E-2</v>
      </c>
      <c r="S125" s="4" t="s">
        <v>768</v>
      </c>
      <c r="T125" s="40" t="s">
        <v>769</v>
      </c>
    </row>
    <row r="126" spans="1:20" ht="28.8" x14ac:dyDescent="0.3">
      <c r="A126" s="5" t="s">
        <v>237</v>
      </c>
      <c r="B126" s="5" t="s">
        <v>23</v>
      </c>
      <c r="C126" s="5">
        <v>38.064399999999999</v>
      </c>
      <c r="D126" s="5">
        <v>-1.4964</v>
      </c>
      <c r="E126" s="19" t="s">
        <v>238</v>
      </c>
      <c r="F126" s="5" t="s">
        <v>6</v>
      </c>
      <c r="G126" s="5" t="s">
        <v>494</v>
      </c>
      <c r="H126" s="5" t="s">
        <v>587</v>
      </c>
      <c r="I126" s="5" t="s">
        <v>770</v>
      </c>
      <c r="J126" s="5" t="s">
        <v>494</v>
      </c>
      <c r="K126" s="5" t="s">
        <v>494</v>
      </c>
      <c r="L126" t="s">
        <v>465</v>
      </c>
      <c r="M126" s="5" t="s">
        <v>239</v>
      </c>
      <c r="N126" s="4"/>
      <c r="O126" s="69">
        <v>0.35049999999999998</v>
      </c>
      <c r="P126" s="44">
        <v>0</v>
      </c>
      <c r="Q126" s="70">
        <v>6.2600000000000003E-2</v>
      </c>
      <c r="R126" s="70">
        <v>0.6724</v>
      </c>
      <c r="S126" t="s">
        <v>771</v>
      </c>
      <c r="T126" s="40" t="s">
        <v>772</v>
      </c>
    </row>
    <row r="127" spans="1:20" x14ac:dyDescent="0.3">
      <c r="A127" s="5" t="s">
        <v>208</v>
      </c>
      <c r="B127" s="5" t="s">
        <v>23</v>
      </c>
      <c r="C127" s="5">
        <v>37.831899999999997</v>
      </c>
      <c r="D127" s="5">
        <v>-2.0956000000000001</v>
      </c>
      <c r="E127" s="5" t="s">
        <v>209</v>
      </c>
      <c r="F127" s="5" t="s">
        <v>19</v>
      </c>
      <c r="G127" s="5" t="s">
        <v>494</v>
      </c>
      <c r="H127" s="5" t="s">
        <v>588</v>
      </c>
      <c r="I127" s="5" t="s">
        <v>512</v>
      </c>
      <c r="J127" s="5" t="s">
        <v>494</v>
      </c>
      <c r="K127" s="5" t="s">
        <v>494</v>
      </c>
      <c r="L127" t="s">
        <v>472</v>
      </c>
      <c r="M127" s="5" t="s">
        <v>210</v>
      </c>
      <c r="N127" s="4"/>
      <c r="O127" s="43">
        <v>1</v>
      </c>
      <c r="P127" s="44">
        <v>0</v>
      </c>
      <c r="Q127" s="44">
        <v>0</v>
      </c>
      <c r="R127" s="44">
        <v>0</v>
      </c>
      <c r="S127" t="s">
        <v>759</v>
      </c>
    </row>
    <row r="128" spans="1:20" s="107" customFormat="1" x14ac:dyDescent="0.3">
      <c r="A128" s="105" t="s">
        <v>213</v>
      </c>
      <c r="B128" s="105" t="s">
        <v>23</v>
      </c>
      <c r="C128" s="105">
        <v>38.757002</v>
      </c>
      <c r="D128" s="105">
        <v>-0.65728900000000001</v>
      </c>
      <c r="E128" s="105" t="s">
        <v>773</v>
      </c>
      <c r="F128" s="105" t="s">
        <v>6</v>
      </c>
      <c r="G128" s="105" t="s">
        <v>494</v>
      </c>
      <c r="H128" s="105" t="s">
        <v>774</v>
      </c>
      <c r="I128" s="105" t="s">
        <v>512</v>
      </c>
      <c r="J128" s="105" t="s">
        <v>494</v>
      </c>
      <c r="K128" s="105" t="s">
        <v>494</v>
      </c>
      <c r="L128" s="107" t="s">
        <v>473</v>
      </c>
      <c r="M128" s="105" t="s">
        <v>214</v>
      </c>
      <c r="N128" s="106"/>
      <c r="O128" s="109" t="s">
        <v>394</v>
      </c>
      <c r="P128" s="106" t="s">
        <v>500</v>
      </c>
      <c r="Q128" s="106" t="s">
        <v>500</v>
      </c>
      <c r="R128" s="106" t="s">
        <v>628</v>
      </c>
      <c r="S128" s="107" t="s">
        <v>779</v>
      </c>
      <c r="T128" s="110" t="s">
        <v>757</v>
      </c>
    </row>
    <row r="129" spans="1:20" s="107" customFormat="1" x14ac:dyDescent="0.3">
      <c r="A129" s="105" t="s">
        <v>213</v>
      </c>
      <c r="B129" s="105" t="s">
        <v>23</v>
      </c>
      <c r="C129" s="105">
        <v>38.757002</v>
      </c>
      <c r="D129" s="105">
        <v>-0.65728900000000001</v>
      </c>
      <c r="E129" s="105" t="s">
        <v>775</v>
      </c>
      <c r="F129" s="105" t="s">
        <v>35</v>
      </c>
      <c r="G129" s="105" t="s">
        <v>494</v>
      </c>
      <c r="H129" s="105" t="s">
        <v>778</v>
      </c>
      <c r="I129" s="105" t="s">
        <v>512</v>
      </c>
      <c r="J129" s="105" t="s">
        <v>494</v>
      </c>
      <c r="K129" s="105" t="s">
        <v>494</v>
      </c>
      <c r="L129" s="107" t="s">
        <v>473</v>
      </c>
      <c r="M129" s="105" t="s">
        <v>296</v>
      </c>
      <c r="N129" s="106"/>
      <c r="O129" s="109" t="s">
        <v>394</v>
      </c>
      <c r="P129" s="106" t="s">
        <v>500</v>
      </c>
      <c r="Q129" s="106" t="s">
        <v>500</v>
      </c>
      <c r="R129" s="106" t="s">
        <v>628</v>
      </c>
      <c r="S129" s="107" t="s">
        <v>779</v>
      </c>
      <c r="T129" s="110" t="s">
        <v>757</v>
      </c>
    </row>
    <row r="130" spans="1:20" s="107" customFormat="1" x14ac:dyDescent="0.3">
      <c r="A130" s="105" t="s">
        <v>213</v>
      </c>
      <c r="B130" s="105" t="s">
        <v>23</v>
      </c>
      <c r="C130" s="105">
        <v>38.757002</v>
      </c>
      <c r="D130" s="105">
        <v>-0.65728900000000001</v>
      </c>
      <c r="E130" s="105" t="s">
        <v>776</v>
      </c>
      <c r="F130" s="105" t="s">
        <v>24</v>
      </c>
      <c r="G130" s="105" t="s">
        <v>493</v>
      </c>
      <c r="H130" s="105" t="s">
        <v>313</v>
      </c>
      <c r="I130" s="105" t="s">
        <v>512</v>
      </c>
      <c r="J130" s="105" t="s">
        <v>494</v>
      </c>
      <c r="K130" s="105" t="s">
        <v>494</v>
      </c>
      <c r="L130" s="107" t="s">
        <v>473</v>
      </c>
      <c r="M130" s="105" t="s">
        <v>215</v>
      </c>
      <c r="N130" s="106"/>
      <c r="O130" s="109" t="s">
        <v>394</v>
      </c>
      <c r="P130" s="106" t="s">
        <v>500</v>
      </c>
      <c r="Q130" s="106" t="s">
        <v>500</v>
      </c>
      <c r="R130" s="106" t="s">
        <v>628</v>
      </c>
      <c r="S130" s="107" t="s">
        <v>779</v>
      </c>
      <c r="T130" s="110" t="s">
        <v>757</v>
      </c>
    </row>
    <row r="131" spans="1:20" s="107" customFormat="1" x14ac:dyDescent="0.3">
      <c r="A131" s="105" t="s">
        <v>213</v>
      </c>
      <c r="B131" s="105" t="s">
        <v>23</v>
      </c>
      <c r="C131" s="105">
        <v>38.757002</v>
      </c>
      <c r="D131" s="105">
        <v>-0.65728900000000001</v>
      </c>
      <c r="E131" s="105" t="s">
        <v>777</v>
      </c>
      <c r="F131" s="105" t="s">
        <v>19</v>
      </c>
      <c r="G131" s="105" t="s">
        <v>494</v>
      </c>
      <c r="H131" s="105" t="s">
        <v>589</v>
      </c>
      <c r="I131" s="105" t="s">
        <v>512</v>
      </c>
      <c r="J131" s="105" t="s">
        <v>494</v>
      </c>
      <c r="K131" s="105" t="s">
        <v>494</v>
      </c>
      <c r="L131" s="107" t="s">
        <v>473</v>
      </c>
      <c r="M131" s="105" t="s">
        <v>216</v>
      </c>
      <c r="N131" s="106"/>
      <c r="O131" s="109" t="s">
        <v>394</v>
      </c>
      <c r="P131" s="106" t="s">
        <v>500</v>
      </c>
      <c r="Q131" s="106" t="s">
        <v>500</v>
      </c>
      <c r="R131" s="106" t="s">
        <v>628</v>
      </c>
      <c r="S131" s="107" t="s">
        <v>779</v>
      </c>
      <c r="T131" s="110" t="s">
        <v>757</v>
      </c>
    </row>
    <row r="132" spans="1:20" s="107" customFormat="1" x14ac:dyDescent="0.3">
      <c r="A132" s="105" t="s">
        <v>217</v>
      </c>
      <c r="B132" s="105" t="s">
        <v>23</v>
      </c>
      <c r="C132" s="105">
        <v>36.9512</v>
      </c>
      <c r="D132" s="105">
        <v>-4.1266999999999996</v>
      </c>
      <c r="E132" s="105" t="s">
        <v>334</v>
      </c>
      <c r="F132" s="105" t="s">
        <v>6</v>
      </c>
      <c r="G132" s="105" t="s">
        <v>494</v>
      </c>
      <c r="H132" s="105" t="s">
        <v>590</v>
      </c>
      <c r="I132" s="105" t="s">
        <v>786</v>
      </c>
      <c r="J132" s="105" t="s">
        <v>494</v>
      </c>
      <c r="K132" s="105" t="s">
        <v>494</v>
      </c>
      <c r="L132" s="107" t="s">
        <v>472</v>
      </c>
      <c r="M132" s="105" t="s">
        <v>780</v>
      </c>
      <c r="N132" s="106" t="s">
        <v>333</v>
      </c>
      <c r="O132" s="109" t="s">
        <v>394</v>
      </c>
      <c r="P132" s="106" t="s">
        <v>500</v>
      </c>
      <c r="Q132" s="106" t="s">
        <v>628</v>
      </c>
      <c r="R132" s="106" t="s">
        <v>500</v>
      </c>
      <c r="S132" s="107" t="s">
        <v>787</v>
      </c>
      <c r="T132" s="110" t="s">
        <v>757</v>
      </c>
    </row>
    <row r="133" spans="1:20" s="107" customFormat="1" x14ac:dyDescent="0.3">
      <c r="A133" s="105" t="s">
        <v>217</v>
      </c>
      <c r="B133" s="105" t="s">
        <v>23</v>
      </c>
      <c r="C133" s="105">
        <v>36.9512</v>
      </c>
      <c r="D133" s="105">
        <v>-4.1266999999999996</v>
      </c>
      <c r="E133" s="105" t="s">
        <v>335</v>
      </c>
      <c r="F133" s="105" t="s">
        <v>35</v>
      </c>
      <c r="G133" s="105" t="s">
        <v>493</v>
      </c>
      <c r="H133" s="105" t="s">
        <v>313</v>
      </c>
      <c r="I133" s="105" t="s">
        <v>512</v>
      </c>
      <c r="J133" s="105" t="s">
        <v>494</v>
      </c>
      <c r="K133" s="105" t="s">
        <v>494</v>
      </c>
      <c r="L133" s="107" t="s">
        <v>472</v>
      </c>
      <c r="M133" s="105" t="s">
        <v>781</v>
      </c>
      <c r="N133" s="106"/>
      <c r="O133" s="109" t="s">
        <v>394</v>
      </c>
      <c r="P133" s="106" t="s">
        <v>500</v>
      </c>
      <c r="Q133" s="106" t="s">
        <v>500</v>
      </c>
      <c r="R133" s="106" t="s">
        <v>628</v>
      </c>
      <c r="S133" s="107" t="s">
        <v>783</v>
      </c>
      <c r="T133" s="110" t="s">
        <v>757</v>
      </c>
    </row>
    <row r="134" spans="1:20" s="107" customFormat="1" x14ac:dyDescent="0.3">
      <c r="A134" s="105" t="s">
        <v>217</v>
      </c>
      <c r="B134" s="105" t="s">
        <v>23</v>
      </c>
      <c r="C134" s="105">
        <v>36.9512</v>
      </c>
      <c r="D134" s="105">
        <v>-4.1266999999999996</v>
      </c>
      <c r="E134" s="105" t="s">
        <v>335</v>
      </c>
      <c r="F134" s="105" t="s">
        <v>24</v>
      </c>
      <c r="G134" s="105" t="s">
        <v>493</v>
      </c>
      <c r="H134" s="105" t="s">
        <v>313</v>
      </c>
      <c r="I134" s="105" t="s">
        <v>512</v>
      </c>
      <c r="J134" s="105" t="s">
        <v>494</v>
      </c>
      <c r="K134" s="105" t="s">
        <v>494</v>
      </c>
      <c r="L134" s="107" t="s">
        <v>472</v>
      </c>
      <c r="M134" s="105" t="s">
        <v>781</v>
      </c>
      <c r="N134" s="106"/>
      <c r="O134" s="109" t="s">
        <v>394</v>
      </c>
      <c r="P134" s="106" t="s">
        <v>500</v>
      </c>
      <c r="Q134" s="106" t="s">
        <v>500</v>
      </c>
      <c r="R134" s="106" t="s">
        <v>628</v>
      </c>
      <c r="S134" s="107" t="s">
        <v>784</v>
      </c>
      <c r="T134" s="110" t="s">
        <v>757</v>
      </c>
    </row>
    <row r="135" spans="1:20" s="107" customFormat="1" x14ac:dyDescent="0.3">
      <c r="A135" s="105" t="s">
        <v>217</v>
      </c>
      <c r="B135" s="105" t="s">
        <v>23</v>
      </c>
      <c r="C135" s="105">
        <v>39.9512</v>
      </c>
      <c r="D135" s="105">
        <v>-4.1266999999999996</v>
      </c>
      <c r="E135" s="105" t="s">
        <v>335</v>
      </c>
      <c r="F135" s="105" t="s">
        <v>19</v>
      </c>
      <c r="G135" s="105" t="s">
        <v>494</v>
      </c>
      <c r="H135" s="105" t="s">
        <v>591</v>
      </c>
      <c r="I135" s="105" t="s">
        <v>512</v>
      </c>
      <c r="J135" s="105" t="s">
        <v>494</v>
      </c>
      <c r="K135" s="105" t="s">
        <v>494</v>
      </c>
      <c r="L135" s="107" t="s">
        <v>472</v>
      </c>
      <c r="M135" s="105" t="s">
        <v>782</v>
      </c>
      <c r="N135" s="106"/>
      <c r="O135" s="109" t="s">
        <v>394</v>
      </c>
      <c r="P135" s="106" t="s">
        <v>500</v>
      </c>
      <c r="Q135" s="106" t="s">
        <v>500</v>
      </c>
      <c r="R135" s="106" t="s">
        <v>628</v>
      </c>
      <c r="S135" s="107" t="s">
        <v>785</v>
      </c>
      <c r="T135" s="110" t="s">
        <v>757</v>
      </c>
    </row>
    <row r="136" spans="1:20" s="107" customFormat="1" x14ac:dyDescent="0.3">
      <c r="A136" s="105" t="s">
        <v>219</v>
      </c>
      <c r="B136" s="105" t="s">
        <v>23</v>
      </c>
      <c r="C136" s="105">
        <v>38.933007000000003</v>
      </c>
      <c r="D136" s="105">
        <v>-0.26249600000000001</v>
      </c>
      <c r="E136" s="105" t="s">
        <v>220</v>
      </c>
      <c r="F136" s="105" t="s">
        <v>24</v>
      </c>
      <c r="G136" s="105" t="s">
        <v>493</v>
      </c>
      <c r="H136" s="105" t="s">
        <v>313</v>
      </c>
      <c r="I136" s="105" t="s">
        <v>521</v>
      </c>
      <c r="J136" s="105" t="s">
        <v>493</v>
      </c>
      <c r="K136" s="105" t="s">
        <v>494</v>
      </c>
      <c r="L136" s="107" t="s">
        <v>460</v>
      </c>
      <c r="M136" s="105" t="s">
        <v>336</v>
      </c>
      <c r="N136" s="106" t="s">
        <v>218</v>
      </c>
      <c r="O136" s="109">
        <v>1337</v>
      </c>
      <c r="P136" s="106">
        <v>0</v>
      </c>
      <c r="Q136" s="107">
        <v>0</v>
      </c>
      <c r="R136" s="107">
        <v>59</v>
      </c>
      <c r="S136" s="107" t="s">
        <v>788</v>
      </c>
      <c r="T136" s="110" t="s">
        <v>789</v>
      </c>
    </row>
    <row r="137" spans="1:20" s="107" customFormat="1" x14ac:dyDescent="0.3">
      <c r="A137" s="105" t="s">
        <v>219</v>
      </c>
      <c r="B137" s="105" t="s">
        <v>23</v>
      </c>
      <c r="C137" s="105">
        <v>38.933007000000003</v>
      </c>
      <c r="D137" s="105">
        <v>-0.26249600000000001</v>
      </c>
      <c r="E137" s="105" t="s">
        <v>221</v>
      </c>
      <c r="F137" s="105" t="s">
        <v>19</v>
      </c>
      <c r="G137" s="105" t="s">
        <v>493</v>
      </c>
      <c r="H137" s="105" t="s">
        <v>313</v>
      </c>
      <c r="I137" s="105" t="s">
        <v>521</v>
      </c>
      <c r="J137" s="105" t="s">
        <v>494</v>
      </c>
      <c r="K137" s="105" t="s">
        <v>494</v>
      </c>
      <c r="L137" s="107" t="s">
        <v>460</v>
      </c>
      <c r="M137" s="105" t="s">
        <v>337</v>
      </c>
      <c r="N137" s="106"/>
      <c r="O137" s="74" t="s">
        <v>313</v>
      </c>
      <c r="P137" s="71" t="s">
        <v>313</v>
      </c>
      <c r="Q137" s="72" t="s">
        <v>313</v>
      </c>
      <c r="R137" s="72" t="s">
        <v>313</v>
      </c>
      <c r="S137" s="72" t="s">
        <v>791</v>
      </c>
      <c r="T137" s="73" t="s">
        <v>790</v>
      </c>
    </row>
    <row r="138" spans="1:20" x14ac:dyDescent="0.3">
      <c r="A138" s="5" t="s">
        <v>222</v>
      </c>
      <c r="B138" s="5" t="s">
        <v>5</v>
      </c>
      <c r="C138" s="5">
        <v>37.75</v>
      </c>
      <c r="D138" s="5">
        <v>-1.54</v>
      </c>
      <c r="E138" s="5" t="s">
        <v>338</v>
      </c>
      <c r="F138" s="5" t="s">
        <v>19</v>
      </c>
      <c r="G138" s="5" t="s">
        <v>493</v>
      </c>
      <c r="H138" s="5" t="s">
        <v>313</v>
      </c>
      <c r="I138" s="5" t="s">
        <v>508</v>
      </c>
      <c r="J138" s="5" t="s">
        <v>494</v>
      </c>
      <c r="K138" s="5" t="s">
        <v>494</v>
      </c>
      <c r="L138" t="s">
        <v>467</v>
      </c>
      <c r="M138" s="5" t="s">
        <v>286</v>
      </c>
      <c r="N138" s="4"/>
      <c r="O138" s="39">
        <v>589</v>
      </c>
      <c r="P138" s="4">
        <v>1</v>
      </c>
      <c r="Q138">
        <v>0</v>
      </c>
      <c r="R138" s="4">
        <v>0</v>
      </c>
      <c r="S138" t="s">
        <v>762</v>
      </c>
    </row>
    <row r="139" spans="1:20" x14ac:dyDescent="0.3">
      <c r="A139" s="5" t="s">
        <v>223</v>
      </c>
      <c r="B139" s="5" t="s">
        <v>23</v>
      </c>
      <c r="C139" s="5">
        <v>34.444099999999999</v>
      </c>
      <c r="D139" s="5">
        <v>-3.4331</v>
      </c>
      <c r="E139" s="5" t="s">
        <v>793</v>
      </c>
      <c r="F139" s="5" t="s">
        <v>6</v>
      </c>
      <c r="G139" s="5" t="s">
        <v>494</v>
      </c>
      <c r="H139" s="5" t="s">
        <v>592</v>
      </c>
      <c r="I139" s="5" t="s">
        <v>512</v>
      </c>
      <c r="J139" s="5" t="s">
        <v>494</v>
      </c>
      <c r="K139" s="5" t="s">
        <v>494</v>
      </c>
      <c r="L139" t="s">
        <v>472</v>
      </c>
      <c r="M139" s="5" t="s">
        <v>792</v>
      </c>
      <c r="N139" s="4"/>
      <c r="O139" s="39" t="s">
        <v>313</v>
      </c>
      <c r="P139" s="4" t="s">
        <v>313</v>
      </c>
      <c r="Q139" s="4" t="s">
        <v>313</v>
      </c>
      <c r="R139" s="4" t="s">
        <v>313</v>
      </c>
      <c r="S139" t="s">
        <v>795</v>
      </c>
      <c r="T139" s="40" t="s">
        <v>794</v>
      </c>
    </row>
    <row r="140" spans="1:20" x14ac:dyDescent="0.3">
      <c r="A140" s="5" t="s">
        <v>796</v>
      </c>
      <c r="B140" s="5" t="s">
        <v>23</v>
      </c>
      <c r="C140" s="5">
        <v>39.021000000000001</v>
      </c>
      <c r="D140" s="5">
        <v>-0.29959999999999998</v>
      </c>
      <c r="E140" s="5" t="s">
        <v>797</v>
      </c>
      <c r="F140" s="5" t="s">
        <v>35</v>
      </c>
      <c r="G140" s="5" t="s">
        <v>494</v>
      </c>
      <c r="H140" s="5" t="s">
        <v>593</v>
      </c>
      <c r="I140" s="5" t="s">
        <v>803</v>
      </c>
      <c r="J140" s="5" t="s">
        <v>494</v>
      </c>
      <c r="K140" s="5" t="s">
        <v>494</v>
      </c>
      <c r="L140" t="s">
        <v>474</v>
      </c>
      <c r="M140" s="5" t="s">
        <v>804</v>
      </c>
      <c r="N140" s="4"/>
      <c r="O140" s="39">
        <v>53</v>
      </c>
      <c r="P140" s="4">
        <v>0</v>
      </c>
      <c r="Q140">
        <v>0</v>
      </c>
      <c r="R140" s="4">
        <v>3</v>
      </c>
      <c r="S140" t="s">
        <v>799</v>
      </c>
      <c r="T140" s="40" t="s">
        <v>801</v>
      </c>
    </row>
    <row r="141" spans="1:20" x14ac:dyDescent="0.3">
      <c r="A141" s="5" t="s">
        <v>796</v>
      </c>
      <c r="B141" s="5" t="s">
        <v>23</v>
      </c>
      <c r="C141" s="5">
        <v>39.021000000000001</v>
      </c>
      <c r="D141" s="5">
        <v>-0.29959999999999998</v>
      </c>
      <c r="E141" s="5" t="s">
        <v>798</v>
      </c>
      <c r="F141" s="5" t="s">
        <v>24</v>
      </c>
      <c r="G141" s="5" t="s">
        <v>494</v>
      </c>
      <c r="H141" s="5" t="s">
        <v>594</v>
      </c>
      <c r="I141" s="5" t="s">
        <v>730</v>
      </c>
      <c r="J141" s="5" t="s">
        <v>494</v>
      </c>
      <c r="K141" s="5" t="s">
        <v>494</v>
      </c>
      <c r="L141" t="s">
        <v>474</v>
      </c>
      <c r="M141" s="5" t="s">
        <v>804</v>
      </c>
      <c r="N141" s="4"/>
      <c r="O141" s="39">
        <v>584</v>
      </c>
      <c r="P141" s="4">
        <v>0</v>
      </c>
      <c r="Q141">
        <v>3</v>
      </c>
      <c r="R141" s="4">
        <v>154</v>
      </c>
      <c r="S141" t="s">
        <v>799</v>
      </c>
      <c r="T141" s="40" t="s">
        <v>800</v>
      </c>
    </row>
    <row r="142" spans="1:20" s="107" customFormat="1" x14ac:dyDescent="0.3">
      <c r="A142" s="105" t="s">
        <v>796</v>
      </c>
      <c r="B142" s="105" t="s">
        <v>23</v>
      </c>
      <c r="C142" s="105">
        <v>39.021000000000001</v>
      </c>
      <c r="D142" s="105">
        <v>-0.29959999999999998</v>
      </c>
      <c r="E142" s="105" t="s">
        <v>802</v>
      </c>
      <c r="F142" s="105" t="s">
        <v>19</v>
      </c>
      <c r="G142" s="105" t="s">
        <v>494</v>
      </c>
      <c r="H142" s="105" t="s">
        <v>595</v>
      </c>
      <c r="I142" s="105" t="s">
        <v>512</v>
      </c>
      <c r="J142" s="105" t="s">
        <v>494</v>
      </c>
      <c r="K142" s="105" t="s">
        <v>494</v>
      </c>
      <c r="L142" s="107" t="s">
        <v>474</v>
      </c>
      <c r="M142" s="105" t="s">
        <v>804</v>
      </c>
      <c r="N142" s="106"/>
      <c r="O142" s="74" t="s">
        <v>313</v>
      </c>
      <c r="P142" s="71" t="s">
        <v>313</v>
      </c>
      <c r="Q142" s="71" t="s">
        <v>313</v>
      </c>
      <c r="R142" s="71" t="s">
        <v>805</v>
      </c>
      <c r="S142" s="72" t="s">
        <v>806</v>
      </c>
      <c r="T142" s="73" t="s">
        <v>807</v>
      </c>
    </row>
    <row r="143" spans="1:20" x14ac:dyDescent="0.3">
      <c r="A143" s="5" t="s">
        <v>225</v>
      </c>
      <c r="B143" s="5" t="s">
        <v>23</v>
      </c>
      <c r="C143" s="5">
        <v>37.585299999999997</v>
      </c>
      <c r="D143" s="5">
        <v>-0.98580000000000001</v>
      </c>
      <c r="E143" s="5" t="s">
        <v>285</v>
      </c>
      <c r="F143" s="5" t="s">
        <v>6</v>
      </c>
      <c r="G143" s="5" t="s">
        <v>494</v>
      </c>
      <c r="H143" s="5" t="s">
        <v>596</v>
      </c>
      <c r="I143" s="5" t="s">
        <v>508</v>
      </c>
      <c r="J143" s="5" t="s">
        <v>494</v>
      </c>
      <c r="K143" s="5" t="s">
        <v>494</v>
      </c>
      <c r="L143" t="s">
        <v>472</v>
      </c>
      <c r="M143" s="5" t="s">
        <v>808</v>
      </c>
      <c r="N143" s="4"/>
      <c r="O143" s="39" t="s">
        <v>394</v>
      </c>
      <c r="P143" s="4" t="s">
        <v>507</v>
      </c>
      <c r="Q143" s="4" t="s">
        <v>500</v>
      </c>
      <c r="R143" s="4" t="s">
        <v>500</v>
      </c>
      <c r="S143" s="4" t="s">
        <v>809</v>
      </c>
    </row>
    <row r="144" spans="1:20" x14ac:dyDescent="0.3">
      <c r="A144" s="5" t="s">
        <v>226</v>
      </c>
      <c r="B144" s="5" t="s">
        <v>23</v>
      </c>
      <c r="C144" s="5">
        <v>37.216700000000003</v>
      </c>
      <c r="D144" s="5">
        <v>-2.0661999999999998</v>
      </c>
      <c r="E144" s="5" t="s">
        <v>810</v>
      </c>
      <c r="F144" s="5" t="s">
        <v>24</v>
      </c>
      <c r="G144" s="5" t="s">
        <v>493</v>
      </c>
      <c r="H144" s="5" t="s">
        <v>313</v>
      </c>
      <c r="I144" s="5" t="s">
        <v>495</v>
      </c>
      <c r="J144" s="5" t="s">
        <v>494</v>
      </c>
      <c r="K144" s="5" t="s">
        <v>494</v>
      </c>
      <c r="L144" t="s">
        <v>468</v>
      </c>
      <c r="M144" s="5" t="s">
        <v>286</v>
      </c>
      <c r="N144" s="4"/>
      <c r="O144" s="69">
        <v>0.92679999999999996</v>
      </c>
      <c r="P144" s="85">
        <v>6.1899999999999997E-2</v>
      </c>
      <c r="Q144" s="70">
        <v>7.7000000000000002E-3</v>
      </c>
      <c r="R144" s="85">
        <v>2.5000000000000001E-3</v>
      </c>
      <c r="S144" t="s">
        <v>812</v>
      </c>
      <c r="T144" s="40" t="s">
        <v>814</v>
      </c>
    </row>
    <row r="145" spans="1:20" x14ac:dyDescent="0.3">
      <c r="A145" s="5" t="s">
        <v>226</v>
      </c>
      <c r="B145" s="5" t="s">
        <v>23</v>
      </c>
      <c r="C145" s="5">
        <v>37.216700000000003</v>
      </c>
      <c r="D145" s="5">
        <v>-2.0667</v>
      </c>
      <c r="E145" s="5" t="s">
        <v>811</v>
      </c>
      <c r="F145" s="5" t="s">
        <v>19</v>
      </c>
      <c r="G145" s="5" t="s">
        <v>493</v>
      </c>
      <c r="H145" s="5" t="s">
        <v>313</v>
      </c>
      <c r="I145" s="5" t="s">
        <v>495</v>
      </c>
      <c r="J145" s="5" t="s">
        <v>494</v>
      </c>
      <c r="K145" s="5" t="s">
        <v>494</v>
      </c>
      <c r="L145" t="s">
        <v>468</v>
      </c>
      <c r="M145" s="5" t="s">
        <v>287</v>
      </c>
      <c r="N145" s="4"/>
      <c r="O145" s="39" t="s">
        <v>813</v>
      </c>
      <c r="P145" s="85">
        <v>2.4E-2</v>
      </c>
      <c r="Q145" s="70">
        <v>1.2E-2</v>
      </c>
      <c r="R145" s="44">
        <v>0</v>
      </c>
      <c r="S145" t="s">
        <v>812</v>
      </c>
      <c r="T145" s="40" t="s">
        <v>814</v>
      </c>
    </row>
    <row r="146" spans="1:20" x14ac:dyDescent="0.3">
      <c r="A146" s="5" t="s">
        <v>227</v>
      </c>
      <c r="B146" s="5" t="s">
        <v>23</v>
      </c>
      <c r="C146" s="5">
        <v>36.985100000000003</v>
      </c>
      <c r="D146" s="5">
        <v>-3.5619999999999998</v>
      </c>
      <c r="E146" s="5" t="s">
        <v>192</v>
      </c>
      <c r="F146" s="5" t="s">
        <v>19</v>
      </c>
      <c r="G146" s="5" t="s">
        <v>493</v>
      </c>
      <c r="H146" s="5" t="s">
        <v>313</v>
      </c>
      <c r="I146" s="5" t="s">
        <v>815</v>
      </c>
      <c r="J146" s="5" t="s">
        <v>494</v>
      </c>
      <c r="K146" s="5" t="s">
        <v>494</v>
      </c>
      <c r="L146" t="s">
        <v>475</v>
      </c>
      <c r="M146" s="5" t="s">
        <v>817</v>
      </c>
      <c r="N146" s="4" t="s">
        <v>218</v>
      </c>
      <c r="O146" s="39" t="s">
        <v>394</v>
      </c>
      <c r="P146" s="4" t="s">
        <v>500</v>
      </c>
      <c r="Q146" s="4" t="s">
        <v>628</v>
      </c>
      <c r="R146" s="4" t="s">
        <v>500</v>
      </c>
      <c r="S146" s="4" t="s">
        <v>816</v>
      </c>
    </row>
    <row r="147" spans="1:20" x14ac:dyDescent="0.3">
      <c r="A147" s="5" t="s">
        <v>228</v>
      </c>
      <c r="B147" s="5" t="s">
        <v>23</v>
      </c>
      <c r="C147" s="5">
        <v>36.761899999999997</v>
      </c>
      <c r="D147" s="5">
        <v>-3.8418999999999999</v>
      </c>
      <c r="E147" s="5" t="s">
        <v>819</v>
      </c>
      <c r="F147" s="5" t="s">
        <v>24</v>
      </c>
      <c r="G147" s="5" t="s">
        <v>494</v>
      </c>
      <c r="H147" s="5" t="s">
        <v>597</v>
      </c>
      <c r="I147" s="5" t="s">
        <v>523</v>
      </c>
      <c r="J147" s="5" t="s">
        <v>494</v>
      </c>
      <c r="K147" s="5" t="s">
        <v>494</v>
      </c>
      <c r="L147" t="s">
        <v>464</v>
      </c>
      <c r="M147" s="5" t="s">
        <v>823</v>
      </c>
      <c r="N147" s="4"/>
      <c r="O147" s="39">
        <v>1399</v>
      </c>
      <c r="P147" s="4">
        <v>2</v>
      </c>
      <c r="Q147">
        <v>5</v>
      </c>
      <c r="R147" s="4">
        <v>48</v>
      </c>
      <c r="S147" t="s">
        <v>820</v>
      </c>
      <c r="T147" s="40" t="s">
        <v>821</v>
      </c>
    </row>
    <row r="148" spans="1:20" x14ac:dyDescent="0.3">
      <c r="A148" s="5" t="s">
        <v>228</v>
      </c>
      <c r="B148" s="5" t="s">
        <v>23</v>
      </c>
      <c r="C148" s="5">
        <v>36.761899999999997</v>
      </c>
      <c r="D148" s="5">
        <v>-3.8418999999999999</v>
      </c>
      <c r="E148" s="5" t="s">
        <v>818</v>
      </c>
      <c r="F148" s="5" t="s">
        <v>19</v>
      </c>
      <c r="G148" s="5" t="s">
        <v>494</v>
      </c>
      <c r="H148" s="5" t="s">
        <v>598</v>
      </c>
      <c r="I148" s="5" t="s">
        <v>523</v>
      </c>
      <c r="J148" s="5" t="s">
        <v>494</v>
      </c>
      <c r="K148" s="5" t="s">
        <v>494</v>
      </c>
      <c r="L148" t="s">
        <v>464</v>
      </c>
      <c r="M148" s="5" t="s">
        <v>822</v>
      </c>
      <c r="N148" s="4"/>
      <c r="O148" s="39" t="s">
        <v>394</v>
      </c>
      <c r="P148" s="4" t="s">
        <v>500</v>
      </c>
      <c r="Q148" s="4" t="s">
        <v>628</v>
      </c>
      <c r="R148" s="4" t="s">
        <v>628</v>
      </c>
      <c r="S148" t="s">
        <v>824</v>
      </c>
      <c r="T148" s="40" t="s">
        <v>825</v>
      </c>
    </row>
    <row r="149" spans="1:20" x14ac:dyDescent="0.3">
      <c r="A149" s="5" t="s">
        <v>229</v>
      </c>
      <c r="B149" s="5" t="s">
        <v>23</v>
      </c>
      <c r="C149" s="5">
        <v>36.729999999999997</v>
      </c>
      <c r="D149" s="5">
        <v>-4.8600000000000003</v>
      </c>
      <c r="E149" s="5" t="s">
        <v>339</v>
      </c>
      <c r="F149" s="5" t="s">
        <v>19</v>
      </c>
      <c r="G149" s="5" t="s">
        <v>493</v>
      </c>
      <c r="H149" s="5" t="s">
        <v>313</v>
      </c>
      <c r="I149" s="5" t="s">
        <v>512</v>
      </c>
      <c r="J149" s="5" t="s">
        <v>494</v>
      </c>
      <c r="K149" s="5" t="s">
        <v>494</v>
      </c>
      <c r="L149" t="s">
        <v>469</v>
      </c>
      <c r="M149" s="5" t="s">
        <v>230</v>
      </c>
      <c r="N149" s="4"/>
      <c r="O149" s="39">
        <v>26</v>
      </c>
      <c r="P149" s="4">
        <v>0</v>
      </c>
      <c r="Q149">
        <v>0</v>
      </c>
      <c r="R149" s="4">
        <v>25</v>
      </c>
      <c r="S149" t="s">
        <v>827</v>
      </c>
      <c r="T149" s="40" t="s">
        <v>826</v>
      </c>
    </row>
    <row r="150" spans="1:20" x14ac:dyDescent="0.3">
      <c r="A150" s="5" t="s">
        <v>340</v>
      </c>
      <c r="B150" s="5" t="s">
        <v>23</v>
      </c>
      <c r="C150" s="5">
        <v>36.549999999999997</v>
      </c>
      <c r="D150" s="5">
        <v>-5.59</v>
      </c>
      <c r="E150" s="5" t="s">
        <v>343</v>
      </c>
      <c r="F150" s="5" t="s">
        <v>6</v>
      </c>
      <c r="G150" s="5" t="s">
        <v>494</v>
      </c>
      <c r="H150" s="5" t="s">
        <v>599</v>
      </c>
      <c r="I150" s="5" t="s">
        <v>831</v>
      </c>
      <c r="J150" s="5" t="s">
        <v>493</v>
      </c>
      <c r="K150" s="5" t="s">
        <v>494</v>
      </c>
      <c r="L150" t="s">
        <v>466</v>
      </c>
      <c r="M150" s="5" t="s">
        <v>829</v>
      </c>
      <c r="N150" s="4"/>
      <c r="O150" s="39" t="s">
        <v>394</v>
      </c>
      <c r="P150" s="4" t="s">
        <v>500</v>
      </c>
      <c r="Q150" s="4" t="s">
        <v>628</v>
      </c>
      <c r="R150" s="4" t="s">
        <v>628</v>
      </c>
      <c r="S150" t="s">
        <v>828</v>
      </c>
    </row>
    <row r="151" spans="1:20" x14ac:dyDescent="0.3">
      <c r="A151" s="5" t="s">
        <v>341</v>
      </c>
      <c r="B151" s="5" t="s">
        <v>23</v>
      </c>
      <c r="C151" s="5">
        <v>36.549999999999997</v>
      </c>
      <c r="D151" s="5">
        <v>-5.59</v>
      </c>
      <c r="E151" s="5" t="s">
        <v>342</v>
      </c>
      <c r="F151" s="5" t="s">
        <v>19</v>
      </c>
      <c r="G151" s="5" t="s">
        <v>493</v>
      </c>
      <c r="H151" s="5" t="s">
        <v>313</v>
      </c>
      <c r="I151" s="5" t="s">
        <v>815</v>
      </c>
      <c r="J151" s="5" t="s">
        <v>494</v>
      </c>
      <c r="K151" s="5" t="s">
        <v>494</v>
      </c>
      <c r="L151" t="s">
        <v>466</v>
      </c>
      <c r="M151" s="5" t="s">
        <v>830</v>
      </c>
      <c r="N151" s="4"/>
      <c r="O151" s="39" t="s">
        <v>394</v>
      </c>
      <c r="P151" s="4" t="s">
        <v>500</v>
      </c>
      <c r="Q151" s="4" t="s">
        <v>628</v>
      </c>
      <c r="R151" s="4" t="s">
        <v>628</v>
      </c>
      <c r="S151" t="s">
        <v>828</v>
      </c>
    </row>
    <row r="152" spans="1:20" x14ac:dyDescent="0.3">
      <c r="A152" s="5" t="s">
        <v>231</v>
      </c>
      <c r="B152" s="5" t="s">
        <v>23</v>
      </c>
      <c r="C152" s="5">
        <v>39.001922999999998</v>
      </c>
      <c r="D152" s="5">
        <v>-0.25664100000000001</v>
      </c>
      <c r="E152" s="5" t="s">
        <v>73</v>
      </c>
      <c r="F152" s="5" t="s">
        <v>24</v>
      </c>
      <c r="G152" s="5" t="s">
        <v>493</v>
      </c>
      <c r="H152" s="5" t="s">
        <v>313</v>
      </c>
      <c r="I152" s="5" t="s">
        <v>512</v>
      </c>
      <c r="J152" s="5" t="s">
        <v>494</v>
      </c>
      <c r="K152" s="5" t="s">
        <v>494</v>
      </c>
      <c r="L152" t="s">
        <v>468</v>
      </c>
      <c r="M152" s="5" t="s">
        <v>833</v>
      </c>
      <c r="N152" s="4"/>
      <c r="O152" s="43">
        <v>1</v>
      </c>
      <c r="P152" s="83">
        <v>0</v>
      </c>
      <c r="Q152" s="44">
        <v>0</v>
      </c>
      <c r="R152" s="44">
        <v>0</v>
      </c>
      <c r="S152" s="90" t="s">
        <v>832</v>
      </c>
      <c r="T152" s="40" t="s">
        <v>835</v>
      </c>
    </row>
    <row r="153" spans="1:20" x14ac:dyDescent="0.3">
      <c r="A153" s="5" t="s">
        <v>231</v>
      </c>
      <c r="B153" s="5" t="s">
        <v>23</v>
      </c>
      <c r="C153" s="5">
        <v>39.004100000000001</v>
      </c>
      <c r="D153" s="5">
        <v>-0.25664100000000001</v>
      </c>
      <c r="E153" s="5" t="s">
        <v>232</v>
      </c>
      <c r="F153" s="5" t="s">
        <v>19</v>
      </c>
      <c r="G153" s="5" t="s">
        <v>494</v>
      </c>
      <c r="H153" s="5" t="s">
        <v>600</v>
      </c>
      <c r="I153" s="5" t="s">
        <v>512</v>
      </c>
      <c r="J153" s="5" t="s">
        <v>494</v>
      </c>
      <c r="K153" s="5" t="s">
        <v>494</v>
      </c>
      <c r="L153" t="s">
        <v>468</v>
      </c>
      <c r="M153" s="5" t="s">
        <v>834</v>
      </c>
      <c r="N153" s="4"/>
      <c r="O153" s="43">
        <v>1</v>
      </c>
      <c r="P153" s="83">
        <v>0</v>
      </c>
      <c r="Q153" s="44">
        <v>0</v>
      </c>
      <c r="R153" s="44">
        <v>0</v>
      </c>
      <c r="S153" t="s">
        <v>759</v>
      </c>
    </row>
    <row r="154" spans="1:20" x14ac:dyDescent="0.3">
      <c r="A154" s="5" t="s">
        <v>290</v>
      </c>
      <c r="B154" s="5" t="s">
        <v>23</v>
      </c>
      <c r="C154" s="5">
        <v>37.249814000000001</v>
      </c>
      <c r="D154" s="5">
        <v>-1.920096</v>
      </c>
      <c r="E154" s="5" t="s">
        <v>836</v>
      </c>
      <c r="F154" s="5" t="s">
        <v>24</v>
      </c>
      <c r="G154" s="5" t="s">
        <v>493</v>
      </c>
      <c r="H154" s="5" t="s">
        <v>313</v>
      </c>
      <c r="I154" s="5" t="s">
        <v>495</v>
      </c>
      <c r="J154" s="5" t="s">
        <v>494</v>
      </c>
      <c r="K154" s="5" t="s">
        <v>494</v>
      </c>
      <c r="L154" t="s">
        <v>460</v>
      </c>
      <c r="M154" s="5" t="s">
        <v>838</v>
      </c>
      <c r="N154" s="4"/>
      <c r="O154" s="69">
        <v>0.94810000000000005</v>
      </c>
      <c r="P154" s="85">
        <v>5.1200000000000002E-2</v>
      </c>
      <c r="Q154" s="70">
        <v>8.5000000000000006E-3</v>
      </c>
      <c r="R154" s="44">
        <v>0</v>
      </c>
      <c r="S154" t="s">
        <v>762</v>
      </c>
    </row>
    <row r="155" spans="1:20" x14ac:dyDescent="0.3">
      <c r="A155" s="5" t="s">
        <v>290</v>
      </c>
      <c r="B155" s="5" t="s">
        <v>23</v>
      </c>
      <c r="C155" s="5">
        <v>37.249814000000001</v>
      </c>
      <c r="D155" s="5">
        <v>-1.920096</v>
      </c>
      <c r="E155" s="5" t="s">
        <v>837</v>
      </c>
      <c r="F155" s="5" t="s">
        <v>19</v>
      </c>
      <c r="G155" s="5" t="s">
        <v>493</v>
      </c>
      <c r="H155" s="5" t="s">
        <v>313</v>
      </c>
      <c r="I155" s="5" t="s">
        <v>495</v>
      </c>
      <c r="J155" s="5" t="s">
        <v>494</v>
      </c>
      <c r="K155" s="5" t="s">
        <v>494</v>
      </c>
      <c r="L155" t="s">
        <v>460</v>
      </c>
      <c r="M155" s="5" t="s">
        <v>838</v>
      </c>
      <c r="N155" s="4"/>
      <c r="O155" s="69">
        <v>0.74780000000000002</v>
      </c>
      <c r="P155" s="85">
        <v>0.2369</v>
      </c>
      <c r="Q155" s="70">
        <v>3.0499999999999999E-2</v>
      </c>
      <c r="R155" s="44">
        <v>0</v>
      </c>
      <c r="S155" t="s">
        <v>839</v>
      </c>
      <c r="T155" s="40" t="s">
        <v>840</v>
      </c>
    </row>
    <row r="156" spans="1:20" x14ac:dyDescent="0.3">
      <c r="A156" s="5" t="s">
        <v>233</v>
      </c>
      <c r="B156" s="5" t="s">
        <v>23</v>
      </c>
      <c r="C156" s="5">
        <v>37.768790000000003</v>
      </c>
      <c r="D156" s="5">
        <v>-3.3</v>
      </c>
      <c r="E156" s="5" t="s">
        <v>232</v>
      </c>
      <c r="F156" s="5" t="s">
        <v>6</v>
      </c>
      <c r="G156" s="5" t="s">
        <v>493</v>
      </c>
      <c r="H156" s="5" t="s">
        <v>313</v>
      </c>
      <c r="I156" s="5" t="s">
        <v>524</v>
      </c>
      <c r="J156" s="5" t="s">
        <v>494</v>
      </c>
      <c r="K156" s="5" t="s">
        <v>494</v>
      </c>
      <c r="L156" t="s">
        <v>472</v>
      </c>
      <c r="M156" s="5" t="s">
        <v>234</v>
      </c>
      <c r="N156" s="4"/>
      <c r="O156" s="39" t="s">
        <v>394</v>
      </c>
      <c r="P156" s="4" t="s">
        <v>628</v>
      </c>
      <c r="Q156" s="4" t="s">
        <v>500</v>
      </c>
      <c r="R156" s="4" t="s">
        <v>628</v>
      </c>
      <c r="S156" t="s">
        <v>841</v>
      </c>
    </row>
    <row r="157" spans="1:20" x14ac:dyDescent="0.3">
      <c r="A157" s="5" t="s">
        <v>300</v>
      </c>
      <c r="B157" s="5" t="s">
        <v>23</v>
      </c>
      <c r="C157" s="5">
        <v>36.694302</v>
      </c>
      <c r="D157" s="5" t="s">
        <v>308</v>
      </c>
      <c r="E157" s="5" t="s">
        <v>345</v>
      </c>
      <c r="F157" s="5" t="s">
        <v>6</v>
      </c>
      <c r="G157" s="5" t="s">
        <v>493</v>
      </c>
      <c r="H157" s="5" t="s">
        <v>313</v>
      </c>
      <c r="I157" s="5" t="s">
        <v>525</v>
      </c>
      <c r="J157" s="5" t="s">
        <v>494</v>
      </c>
      <c r="K157" s="5" t="s">
        <v>494</v>
      </c>
      <c r="L157" t="s">
        <v>472</v>
      </c>
      <c r="M157" s="5" t="s">
        <v>347</v>
      </c>
      <c r="N157" s="4"/>
      <c r="O157" s="39" t="s">
        <v>507</v>
      </c>
      <c r="P157" s="4" t="s">
        <v>500</v>
      </c>
      <c r="Q157" t="s">
        <v>507</v>
      </c>
      <c r="R157" t="s">
        <v>507</v>
      </c>
      <c r="S157" t="s">
        <v>853</v>
      </c>
      <c r="T157" s="40" t="s">
        <v>855</v>
      </c>
    </row>
    <row r="158" spans="1:20" ht="28.8" x14ac:dyDescent="0.3">
      <c r="A158" s="5" t="s">
        <v>300</v>
      </c>
      <c r="B158" s="5" t="s">
        <v>23</v>
      </c>
      <c r="C158" s="5">
        <v>36.694302</v>
      </c>
      <c r="D158" s="5" t="s">
        <v>308</v>
      </c>
      <c r="E158" s="5" t="s">
        <v>346</v>
      </c>
      <c r="F158" s="5" t="s">
        <v>24</v>
      </c>
      <c r="G158" s="5" t="s">
        <v>494</v>
      </c>
      <c r="H158" s="19" t="s">
        <v>613</v>
      </c>
      <c r="I158" s="5" t="s">
        <v>515</v>
      </c>
      <c r="J158" s="5" t="s">
        <v>494</v>
      </c>
      <c r="K158" s="5" t="s">
        <v>494</v>
      </c>
      <c r="L158" t="s">
        <v>472</v>
      </c>
      <c r="M158" s="5" t="s">
        <v>347</v>
      </c>
      <c r="N158" s="4"/>
      <c r="O158" s="39" t="s">
        <v>507</v>
      </c>
      <c r="P158" s="4" t="s">
        <v>500</v>
      </c>
      <c r="Q158" t="s">
        <v>507</v>
      </c>
      <c r="R158" t="s">
        <v>507</v>
      </c>
      <c r="S158" t="s">
        <v>853</v>
      </c>
      <c r="T158" s="40" t="s">
        <v>855</v>
      </c>
    </row>
    <row r="159" spans="1:20" x14ac:dyDescent="0.3">
      <c r="A159" s="5" t="s">
        <v>300</v>
      </c>
      <c r="B159" s="5" t="s">
        <v>23</v>
      </c>
      <c r="C159" s="61">
        <v>36.694302</v>
      </c>
      <c r="D159" s="61" t="s">
        <v>308</v>
      </c>
      <c r="E159" s="5" t="s">
        <v>344</v>
      </c>
      <c r="F159" s="5" t="s">
        <v>19</v>
      </c>
      <c r="G159" s="5" t="s">
        <v>493</v>
      </c>
      <c r="H159" s="5" t="s">
        <v>313</v>
      </c>
      <c r="I159" s="5" t="s">
        <v>515</v>
      </c>
      <c r="J159" s="5" t="s">
        <v>494</v>
      </c>
      <c r="K159" s="5" t="s">
        <v>494</v>
      </c>
      <c r="L159" t="s">
        <v>472</v>
      </c>
      <c r="M159" s="5" t="s">
        <v>347</v>
      </c>
      <c r="N159" s="4"/>
      <c r="O159" s="39" t="s">
        <v>507</v>
      </c>
      <c r="P159" s="4" t="s">
        <v>500</v>
      </c>
      <c r="Q159" t="s">
        <v>507</v>
      </c>
      <c r="R159" t="s">
        <v>507</v>
      </c>
      <c r="S159" t="s">
        <v>853</v>
      </c>
      <c r="T159" s="40" t="s">
        <v>855</v>
      </c>
    </row>
    <row r="160" spans="1:20" x14ac:dyDescent="0.3">
      <c r="A160" s="5" t="s">
        <v>235</v>
      </c>
      <c r="B160" s="5" t="s">
        <v>5</v>
      </c>
      <c r="C160" s="5">
        <v>37.534999999999997</v>
      </c>
      <c r="D160" s="5">
        <v>-1.42</v>
      </c>
      <c r="E160" s="5" t="s">
        <v>349</v>
      </c>
      <c r="F160" s="5" t="s">
        <v>6</v>
      </c>
      <c r="G160" s="5" t="s">
        <v>493</v>
      </c>
      <c r="H160" s="5" t="s">
        <v>313</v>
      </c>
      <c r="I160" s="5" t="s">
        <v>508</v>
      </c>
      <c r="J160" s="5" t="s">
        <v>494</v>
      </c>
      <c r="K160" s="5" t="s">
        <v>494</v>
      </c>
      <c r="L160" t="s">
        <v>467</v>
      </c>
      <c r="M160" s="5" t="s">
        <v>856</v>
      </c>
      <c r="N160" s="4"/>
      <c r="O160" s="39" t="s">
        <v>507</v>
      </c>
      <c r="P160" s="4" t="s">
        <v>394</v>
      </c>
      <c r="Q160" s="4" t="s">
        <v>500</v>
      </c>
      <c r="R160" s="4" t="s">
        <v>500</v>
      </c>
      <c r="S160" t="s">
        <v>857</v>
      </c>
      <c r="T160" s="40" t="s">
        <v>757</v>
      </c>
    </row>
    <row r="161" spans="1:20" x14ac:dyDescent="0.3">
      <c r="A161" s="5" t="s">
        <v>235</v>
      </c>
      <c r="B161" s="5" t="s">
        <v>5</v>
      </c>
      <c r="C161" s="5">
        <v>37.534999999999997</v>
      </c>
      <c r="D161" s="5">
        <v>-1.42</v>
      </c>
      <c r="E161" s="5" t="s">
        <v>348</v>
      </c>
      <c r="F161" s="5" t="s">
        <v>35</v>
      </c>
      <c r="G161" s="5" t="s">
        <v>493</v>
      </c>
      <c r="H161" s="5" t="s">
        <v>313</v>
      </c>
      <c r="I161" s="5" t="s">
        <v>508</v>
      </c>
      <c r="J161" s="5" t="s">
        <v>494</v>
      </c>
      <c r="K161" s="5" t="s">
        <v>494</v>
      </c>
      <c r="L161" t="s">
        <v>467</v>
      </c>
      <c r="M161" s="5" t="s">
        <v>856</v>
      </c>
      <c r="N161" s="4"/>
      <c r="O161" s="39" t="s">
        <v>507</v>
      </c>
      <c r="P161" s="4" t="s">
        <v>394</v>
      </c>
      <c r="Q161" s="4" t="s">
        <v>500</v>
      </c>
      <c r="R161" s="4" t="s">
        <v>500</v>
      </c>
      <c r="S161" t="s">
        <v>857</v>
      </c>
      <c r="T161" s="40" t="s">
        <v>757</v>
      </c>
    </row>
    <row r="162" spans="1:20" x14ac:dyDescent="0.3">
      <c r="A162" s="5" t="s">
        <v>236</v>
      </c>
      <c r="B162" s="5" t="s">
        <v>23</v>
      </c>
      <c r="C162" s="5">
        <v>36.340077999999998</v>
      </c>
      <c r="D162" s="5">
        <v>5.81</v>
      </c>
      <c r="E162" s="5" t="s">
        <v>283</v>
      </c>
      <c r="F162" s="5" t="s">
        <v>19</v>
      </c>
      <c r="G162" s="5" t="s">
        <v>493</v>
      </c>
      <c r="H162" s="5" t="s">
        <v>313</v>
      </c>
      <c r="I162" s="5" t="s">
        <v>526</v>
      </c>
      <c r="J162" s="5" t="s">
        <v>494</v>
      </c>
      <c r="K162" s="5" t="s">
        <v>494</v>
      </c>
      <c r="L162" t="s">
        <v>463</v>
      </c>
      <c r="M162" s="5" t="s">
        <v>858</v>
      </c>
      <c r="N162" s="4" t="s">
        <v>284</v>
      </c>
      <c r="O162" s="69">
        <v>0.97819999999999996</v>
      </c>
      <c r="P162" s="83">
        <v>0</v>
      </c>
      <c r="Q162" s="44">
        <v>0</v>
      </c>
      <c r="R162" s="70">
        <v>2.8799999999999999E-2</v>
      </c>
      <c r="S162" t="s">
        <v>859</v>
      </c>
      <c r="T162" s="40" t="s">
        <v>860</v>
      </c>
    </row>
    <row r="163" spans="1:20" x14ac:dyDescent="0.3">
      <c r="A163" s="5" t="s">
        <v>244</v>
      </c>
      <c r="B163" s="5" t="s">
        <v>23</v>
      </c>
      <c r="C163" s="5">
        <v>36.621000000000002</v>
      </c>
      <c r="D163" s="5">
        <v>-4.4999000000000002</v>
      </c>
      <c r="E163" s="5" t="s">
        <v>842</v>
      </c>
      <c r="F163" s="5" t="s">
        <v>6</v>
      </c>
      <c r="G163" s="5" t="s">
        <v>494</v>
      </c>
      <c r="H163" s="5" t="s">
        <v>601</v>
      </c>
      <c r="I163" s="5" t="s">
        <v>495</v>
      </c>
      <c r="J163" s="5" t="s">
        <v>494</v>
      </c>
      <c r="K163" s="5" t="s">
        <v>494</v>
      </c>
      <c r="L163" t="s">
        <v>463</v>
      </c>
      <c r="M163" s="5" t="s">
        <v>245</v>
      </c>
      <c r="N163" s="4"/>
      <c r="O163" s="69">
        <v>0.93440000000000001</v>
      </c>
      <c r="P163" s="85">
        <v>5.3E-3</v>
      </c>
      <c r="Q163" s="70">
        <v>5.3499999999999999E-2</v>
      </c>
      <c r="R163" t="s">
        <v>845</v>
      </c>
      <c r="S163" t="s">
        <v>849</v>
      </c>
      <c r="T163" s="40" t="s">
        <v>844</v>
      </c>
    </row>
    <row r="164" spans="1:20" x14ac:dyDescent="0.3">
      <c r="A164" s="5" t="s">
        <v>244</v>
      </c>
      <c r="B164" s="5" t="s">
        <v>23</v>
      </c>
      <c r="C164" s="5">
        <v>36.621000000000002</v>
      </c>
      <c r="D164" s="5">
        <v>-4.4999000000000002</v>
      </c>
      <c r="E164" s="5" t="s">
        <v>843</v>
      </c>
      <c r="F164" s="5" t="s">
        <v>35</v>
      </c>
      <c r="G164" s="5" t="s">
        <v>494</v>
      </c>
      <c r="H164" s="5" t="s">
        <v>602</v>
      </c>
      <c r="I164" s="5" t="s">
        <v>495</v>
      </c>
      <c r="J164" s="5" t="s">
        <v>494</v>
      </c>
      <c r="K164" s="5" t="s">
        <v>494</v>
      </c>
      <c r="L164" t="s">
        <v>463</v>
      </c>
      <c r="M164" s="5" t="s">
        <v>246</v>
      </c>
      <c r="N164" s="4"/>
      <c r="O164" s="69">
        <v>0.93200000000000005</v>
      </c>
      <c r="P164" s="83">
        <v>0</v>
      </c>
      <c r="Q164" s="70">
        <v>5.8200000000000002E-2</v>
      </c>
      <c r="R164" s="70">
        <v>1.95E-2</v>
      </c>
      <c r="S164" t="s">
        <v>850</v>
      </c>
      <c r="T164" s="40" t="s">
        <v>848</v>
      </c>
    </row>
    <row r="165" spans="1:20" x14ac:dyDescent="0.3">
      <c r="A165" s="5" t="s">
        <v>244</v>
      </c>
      <c r="B165" s="5" t="s">
        <v>23</v>
      </c>
      <c r="C165" s="5">
        <v>36.621000000000002</v>
      </c>
      <c r="D165" s="5">
        <v>-4.4999000000000002</v>
      </c>
      <c r="E165" s="5" t="s">
        <v>247</v>
      </c>
      <c r="F165" s="5" t="s">
        <v>24</v>
      </c>
      <c r="G165" s="5" t="s">
        <v>494</v>
      </c>
      <c r="H165" s="5" t="s">
        <v>603</v>
      </c>
      <c r="I165" s="5" t="s">
        <v>495</v>
      </c>
      <c r="J165" s="5" t="s">
        <v>494</v>
      </c>
      <c r="K165" s="5" t="s">
        <v>494</v>
      </c>
      <c r="L165" t="s">
        <v>463</v>
      </c>
      <c r="M165" s="5" t="s">
        <v>248</v>
      </c>
      <c r="N165" s="4"/>
      <c r="O165" s="69">
        <v>0.96799999999999997</v>
      </c>
      <c r="P165" s="83">
        <v>0</v>
      </c>
      <c r="Q165" s="70">
        <v>1.0999999999999999E-2</v>
      </c>
      <c r="R165" s="70">
        <v>2.1000000000000001E-2</v>
      </c>
      <c r="S165" t="s">
        <v>851</v>
      </c>
      <c r="T165" s="40" t="s">
        <v>846</v>
      </c>
    </row>
    <row r="166" spans="1:20" x14ac:dyDescent="0.3">
      <c r="A166" s="5" t="s">
        <v>244</v>
      </c>
      <c r="B166" s="5" t="s">
        <v>23</v>
      </c>
      <c r="C166" s="5">
        <v>36.621000000000002</v>
      </c>
      <c r="D166" s="5">
        <v>-4.4999000000000002</v>
      </c>
      <c r="E166" s="5" t="s">
        <v>249</v>
      </c>
      <c r="F166" s="5" t="s">
        <v>19</v>
      </c>
      <c r="G166" s="5" t="s">
        <v>494</v>
      </c>
      <c r="H166" s="5" t="s">
        <v>604</v>
      </c>
      <c r="I166" s="5" t="s">
        <v>495</v>
      </c>
      <c r="J166" s="5" t="s">
        <v>494</v>
      </c>
      <c r="K166" s="5" t="s">
        <v>494</v>
      </c>
      <c r="L166" t="s">
        <v>463</v>
      </c>
      <c r="M166" s="5" t="s">
        <v>248</v>
      </c>
      <c r="N166" s="4"/>
      <c r="O166" s="69">
        <v>0.92049999999999998</v>
      </c>
      <c r="P166" s="83">
        <v>0</v>
      </c>
      <c r="Q166" s="70">
        <v>4.1000000000000002E-2</v>
      </c>
      <c r="R166" s="70">
        <v>3.9E-2</v>
      </c>
      <c r="S166" t="s">
        <v>852</v>
      </c>
      <c r="T166" s="40" t="s">
        <v>847</v>
      </c>
    </row>
    <row r="167" spans="1:20" x14ac:dyDescent="0.3">
      <c r="A167" s="5" t="s">
        <v>250</v>
      </c>
      <c r="B167" s="5" t="s">
        <v>5</v>
      </c>
      <c r="C167" s="5">
        <v>38.397500000000001</v>
      </c>
      <c r="D167" s="5">
        <v>-2.2458999999999998</v>
      </c>
      <c r="E167" s="5" t="s">
        <v>251</v>
      </c>
      <c r="F167" s="5" t="s">
        <v>6</v>
      </c>
      <c r="G167" s="5" t="s">
        <v>493</v>
      </c>
      <c r="H167" s="5" t="s">
        <v>313</v>
      </c>
      <c r="I167" s="5" t="s">
        <v>499</v>
      </c>
      <c r="J167" s="5" t="s">
        <v>493</v>
      </c>
      <c r="K167" s="5" t="s">
        <v>494</v>
      </c>
      <c r="L167" t="s">
        <v>469</v>
      </c>
      <c r="M167" s="5" t="s">
        <v>862</v>
      </c>
      <c r="N167" s="4"/>
      <c r="O167" s="39" t="s">
        <v>313</v>
      </c>
      <c r="P167" s="4" t="s">
        <v>313</v>
      </c>
      <c r="Q167" s="4" t="s">
        <v>394</v>
      </c>
      <c r="R167" s="4" t="s">
        <v>628</v>
      </c>
      <c r="S167" t="s">
        <v>865</v>
      </c>
      <c r="T167" s="40" t="s">
        <v>757</v>
      </c>
    </row>
    <row r="168" spans="1:20" ht="42" customHeight="1" x14ac:dyDescent="0.3">
      <c r="A168" s="5" t="s">
        <v>250</v>
      </c>
      <c r="B168" s="5" t="s">
        <v>5</v>
      </c>
      <c r="C168" s="5">
        <v>38.397500000000001</v>
      </c>
      <c r="D168" s="5">
        <v>-2.2458999999999998</v>
      </c>
      <c r="E168" s="5" t="s">
        <v>861</v>
      </c>
      <c r="F168" s="5" t="s">
        <v>24</v>
      </c>
      <c r="G168" s="5" t="s">
        <v>494</v>
      </c>
      <c r="H168" s="5" t="s">
        <v>605</v>
      </c>
      <c r="I168" s="5" t="s">
        <v>527</v>
      </c>
      <c r="J168" s="5" t="s">
        <v>494</v>
      </c>
      <c r="K168" s="5" t="s">
        <v>494</v>
      </c>
      <c r="L168" t="s">
        <v>469</v>
      </c>
      <c r="M168" s="5" t="s">
        <v>863</v>
      </c>
      <c r="N168" s="4"/>
      <c r="O168" s="39" t="s">
        <v>394</v>
      </c>
      <c r="P168" s="4" t="s">
        <v>500</v>
      </c>
      <c r="Q168" t="s">
        <v>507</v>
      </c>
      <c r="R168" s="4" t="s">
        <v>394</v>
      </c>
      <c r="S168" t="s">
        <v>866</v>
      </c>
      <c r="T168" s="40" t="s">
        <v>868</v>
      </c>
    </row>
    <row r="169" spans="1:20" x14ac:dyDescent="0.3">
      <c r="A169" s="5" t="s">
        <v>250</v>
      </c>
      <c r="B169" s="5" t="s">
        <v>5</v>
      </c>
      <c r="C169" s="5">
        <v>38.397500000000001</v>
      </c>
      <c r="D169" s="5">
        <v>-2.2458999999999998</v>
      </c>
      <c r="E169" s="5" t="s">
        <v>252</v>
      </c>
      <c r="F169" s="5" t="s">
        <v>19</v>
      </c>
      <c r="G169" s="5" t="s">
        <v>493</v>
      </c>
      <c r="H169" s="5" t="s">
        <v>313</v>
      </c>
      <c r="I169" s="5" t="s">
        <v>512</v>
      </c>
      <c r="J169" s="5" t="s">
        <v>494</v>
      </c>
      <c r="K169" s="5" t="s">
        <v>494</v>
      </c>
      <c r="L169" t="s">
        <v>469</v>
      </c>
      <c r="M169" s="5" t="s">
        <v>864</v>
      </c>
      <c r="N169" s="4"/>
      <c r="O169" s="39" t="s">
        <v>394</v>
      </c>
      <c r="P169" s="4" t="s">
        <v>500</v>
      </c>
      <c r="Q169" t="s">
        <v>507</v>
      </c>
      <c r="R169" s="4" t="s">
        <v>394</v>
      </c>
      <c r="S169" t="s">
        <v>867</v>
      </c>
      <c r="T169" s="40" t="s">
        <v>868</v>
      </c>
    </row>
    <row r="170" spans="1:20" s="107" customFormat="1" x14ac:dyDescent="0.3">
      <c r="A170" s="105" t="s">
        <v>263</v>
      </c>
      <c r="B170" s="105" t="s">
        <v>23</v>
      </c>
      <c r="C170" s="105">
        <v>37.434199999999997</v>
      </c>
      <c r="D170" s="105">
        <v>-4.1837999999999997</v>
      </c>
      <c r="E170" s="105" t="s">
        <v>350</v>
      </c>
      <c r="F170" s="105" t="s">
        <v>19</v>
      </c>
      <c r="G170" s="105" t="s">
        <v>494</v>
      </c>
      <c r="H170" s="105" t="s">
        <v>614</v>
      </c>
      <c r="I170" s="105" t="s">
        <v>528</v>
      </c>
      <c r="J170" s="105" t="s">
        <v>494</v>
      </c>
      <c r="K170" s="105" t="s">
        <v>494</v>
      </c>
      <c r="L170" s="107" t="s">
        <v>469</v>
      </c>
      <c r="M170" s="105" t="s">
        <v>351</v>
      </c>
      <c r="N170" s="106"/>
      <c r="O170" s="91">
        <v>1</v>
      </c>
      <c r="P170" s="71" t="s">
        <v>500</v>
      </c>
      <c r="Q170" s="71" t="s">
        <v>500</v>
      </c>
      <c r="R170" s="71" t="s">
        <v>628</v>
      </c>
      <c r="S170" s="71" t="s">
        <v>869</v>
      </c>
      <c r="T170" s="73" t="s">
        <v>924</v>
      </c>
    </row>
    <row r="171" spans="1:20" x14ac:dyDescent="0.3">
      <c r="A171" s="5" t="s">
        <v>253</v>
      </c>
      <c r="B171" s="5" t="s">
        <v>5</v>
      </c>
      <c r="C171" s="5">
        <v>38.078600000000002</v>
      </c>
      <c r="D171" s="5">
        <v>-1.4912000000000001</v>
      </c>
      <c r="E171" s="54">
        <v>9</v>
      </c>
      <c r="F171" s="5" t="s">
        <v>6</v>
      </c>
      <c r="G171" s="5" t="s">
        <v>493</v>
      </c>
      <c r="H171" s="5" t="s">
        <v>313</v>
      </c>
      <c r="I171" s="5" t="s">
        <v>899</v>
      </c>
      <c r="J171" s="5" t="s">
        <v>494</v>
      </c>
      <c r="K171" s="5" t="s">
        <v>493</v>
      </c>
      <c r="L171" t="s">
        <v>465</v>
      </c>
      <c r="M171" s="5" t="s">
        <v>903</v>
      </c>
      <c r="N171" s="4"/>
      <c r="O171" s="46">
        <v>371</v>
      </c>
      <c r="P171" s="4">
        <v>0</v>
      </c>
      <c r="Q171" s="4">
        <v>14</v>
      </c>
      <c r="R171" s="4">
        <v>2</v>
      </c>
      <c r="S171" s="4" t="s">
        <v>897</v>
      </c>
      <c r="T171" s="40" t="s">
        <v>898</v>
      </c>
    </row>
    <row r="172" spans="1:20" x14ac:dyDescent="0.3">
      <c r="A172" s="5" t="s">
        <v>253</v>
      </c>
      <c r="B172" s="5" t="s">
        <v>5</v>
      </c>
      <c r="C172" s="5">
        <v>38.078600000000002</v>
      </c>
      <c r="D172" s="5">
        <v>-1.4912000000000001</v>
      </c>
      <c r="E172" s="54">
        <v>8</v>
      </c>
      <c r="F172" s="5" t="s">
        <v>35</v>
      </c>
      <c r="G172" s="5" t="s">
        <v>493</v>
      </c>
      <c r="H172" s="5" t="s">
        <v>313</v>
      </c>
      <c r="I172" s="5" t="s">
        <v>495</v>
      </c>
      <c r="J172" s="5" t="s">
        <v>494</v>
      </c>
      <c r="K172" s="5" t="s">
        <v>493</v>
      </c>
      <c r="L172" t="s">
        <v>465</v>
      </c>
      <c r="M172" s="5" t="s">
        <v>903</v>
      </c>
      <c r="N172" s="4"/>
      <c r="O172" s="46">
        <v>325</v>
      </c>
      <c r="P172" s="4">
        <v>1</v>
      </c>
      <c r="Q172" s="4">
        <v>2</v>
      </c>
      <c r="R172" s="4">
        <v>0</v>
      </c>
      <c r="S172" s="4" t="s">
        <v>897</v>
      </c>
    </row>
    <row r="173" spans="1:20" x14ac:dyDescent="0.3">
      <c r="A173" s="5" t="s">
        <v>253</v>
      </c>
      <c r="B173" s="5" t="s">
        <v>5</v>
      </c>
      <c r="C173" s="5">
        <v>38.078600000000002</v>
      </c>
      <c r="D173" s="5">
        <v>-1.4912000000000001</v>
      </c>
      <c r="E173" s="5" t="s">
        <v>900</v>
      </c>
      <c r="F173" s="5" t="s">
        <v>24</v>
      </c>
      <c r="G173" s="5" t="s">
        <v>494</v>
      </c>
      <c r="H173" s="5" t="s">
        <v>902</v>
      </c>
      <c r="I173" s="5" t="s">
        <v>899</v>
      </c>
      <c r="J173" s="5" t="s">
        <v>494</v>
      </c>
      <c r="K173" s="5" t="s">
        <v>494</v>
      </c>
      <c r="L173" t="s">
        <v>465</v>
      </c>
      <c r="M173" s="5" t="s">
        <v>903</v>
      </c>
      <c r="N173" s="4"/>
      <c r="O173" s="46">
        <v>5012</v>
      </c>
      <c r="P173" s="93">
        <v>2</v>
      </c>
      <c r="Q173">
        <v>62</v>
      </c>
      <c r="R173" s="4">
        <v>4</v>
      </c>
      <c r="S173" t="s">
        <v>897</v>
      </c>
      <c r="T173" s="40" t="s">
        <v>898</v>
      </c>
    </row>
    <row r="174" spans="1:20" x14ac:dyDescent="0.3">
      <c r="A174" s="5" t="s">
        <v>253</v>
      </c>
      <c r="B174" s="5" t="s">
        <v>5</v>
      </c>
      <c r="C174" s="5">
        <v>38.078600000000002</v>
      </c>
      <c r="D174" s="5">
        <v>-1.4912000000000001</v>
      </c>
      <c r="E174" s="5" t="s">
        <v>255</v>
      </c>
      <c r="F174" s="5" t="s">
        <v>19</v>
      </c>
      <c r="G174" s="5" t="s">
        <v>494</v>
      </c>
      <c r="H174" s="5" t="s">
        <v>901</v>
      </c>
      <c r="I174" s="5" t="s">
        <v>512</v>
      </c>
      <c r="J174" s="5" t="s">
        <v>494</v>
      </c>
      <c r="K174" s="5" t="s">
        <v>493</v>
      </c>
      <c r="L174" t="s">
        <v>465</v>
      </c>
      <c r="M174" s="5" t="s">
        <v>254</v>
      </c>
      <c r="N174" s="4"/>
      <c r="O174" s="43" t="s">
        <v>394</v>
      </c>
      <c r="P174" s="4" t="s">
        <v>500</v>
      </c>
      <c r="Q174" s="4" t="s">
        <v>500</v>
      </c>
      <c r="R174" s="4" t="s">
        <v>399</v>
      </c>
      <c r="S174" s="4" t="s">
        <v>854</v>
      </c>
      <c r="T174" s="40" t="s">
        <v>898</v>
      </c>
    </row>
    <row r="175" spans="1:20" x14ac:dyDescent="0.3">
      <c r="A175" s="5" t="s">
        <v>256</v>
      </c>
      <c r="B175" s="5" t="s">
        <v>23</v>
      </c>
      <c r="C175" s="5">
        <v>36.120399999999997</v>
      </c>
      <c r="D175" s="5">
        <v>-5.3421000000000003</v>
      </c>
      <c r="E175" s="5" t="s">
        <v>257</v>
      </c>
      <c r="F175" s="5" t="s">
        <v>6</v>
      </c>
      <c r="G175" s="5" t="s">
        <v>494</v>
      </c>
      <c r="H175" s="5" t="s">
        <v>606</v>
      </c>
      <c r="I175" s="5" t="s">
        <v>529</v>
      </c>
      <c r="J175" s="5" t="s">
        <v>494</v>
      </c>
      <c r="K175" s="5" t="s">
        <v>494</v>
      </c>
      <c r="L175" t="s">
        <v>463</v>
      </c>
      <c r="M175" s="5" t="s">
        <v>353</v>
      </c>
      <c r="N175" s="4" t="s">
        <v>218</v>
      </c>
      <c r="O175" s="39">
        <v>123</v>
      </c>
      <c r="P175" s="4">
        <v>0</v>
      </c>
      <c r="Q175">
        <v>142</v>
      </c>
      <c r="R175" s="4">
        <v>29</v>
      </c>
      <c r="S175" t="s">
        <v>870</v>
      </c>
    </row>
    <row r="176" spans="1:20" s="72" customFormat="1" x14ac:dyDescent="0.3">
      <c r="A176" s="18" t="s">
        <v>256</v>
      </c>
      <c r="B176" s="18" t="s">
        <v>23</v>
      </c>
      <c r="C176" s="18">
        <v>36.120399999999997</v>
      </c>
      <c r="D176" s="18">
        <v>-5.3421000000000003</v>
      </c>
      <c r="E176" s="18" t="s">
        <v>258</v>
      </c>
      <c r="F176" s="18" t="s">
        <v>35</v>
      </c>
      <c r="G176" s="18" t="s">
        <v>494</v>
      </c>
      <c r="H176" s="18" t="s">
        <v>607</v>
      </c>
      <c r="I176" s="18" t="s">
        <v>313</v>
      </c>
      <c r="J176" s="18" t="s">
        <v>313</v>
      </c>
      <c r="K176" s="18" t="s">
        <v>494</v>
      </c>
      <c r="L176" s="72" t="s">
        <v>463</v>
      </c>
      <c r="M176" s="18" t="s">
        <v>354</v>
      </c>
      <c r="N176" s="71" t="s">
        <v>355</v>
      </c>
      <c r="O176" s="74" t="s">
        <v>313</v>
      </c>
      <c r="P176" s="71" t="s">
        <v>313</v>
      </c>
      <c r="Q176" s="71" t="s">
        <v>313</v>
      </c>
      <c r="R176" s="71" t="s">
        <v>313</v>
      </c>
      <c r="S176" s="72" t="s">
        <v>871</v>
      </c>
      <c r="T176" s="73"/>
    </row>
    <row r="177" spans="1:73" s="72" customFormat="1" x14ac:dyDescent="0.3">
      <c r="A177" s="18" t="s">
        <v>256</v>
      </c>
      <c r="B177" s="18" t="s">
        <v>23</v>
      </c>
      <c r="C177" s="18">
        <v>36.120399999999997</v>
      </c>
      <c r="D177" s="18">
        <v>-5.3421000000000003</v>
      </c>
      <c r="E177" s="18" t="s">
        <v>259</v>
      </c>
      <c r="F177" s="18" t="s">
        <v>24</v>
      </c>
      <c r="G177" s="18" t="s">
        <v>494</v>
      </c>
      <c r="H177" s="18" t="s">
        <v>608</v>
      </c>
      <c r="I177" s="18" t="s">
        <v>313</v>
      </c>
      <c r="J177" s="18" t="s">
        <v>313</v>
      </c>
      <c r="K177" s="18" t="s">
        <v>494</v>
      </c>
      <c r="L177" s="72" t="s">
        <v>463</v>
      </c>
      <c r="M177" s="18" t="s">
        <v>354</v>
      </c>
      <c r="N177" s="71" t="s">
        <v>356</v>
      </c>
      <c r="O177" s="74" t="s">
        <v>313</v>
      </c>
      <c r="P177" s="71" t="s">
        <v>313</v>
      </c>
      <c r="Q177" s="71" t="s">
        <v>313</v>
      </c>
      <c r="R177" s="71" t="s">
        <v>313</v>
      </c>
      <c r="S177" s="72" t="s">
        <v>872</v>
      </c>
      <c r="T177" s="73"/>
    </row>
    <row r="178" spans="1:73" x14ac:dyDescent="0.3">
      <c r="A178" s="5" t="s">
        <v>256</v>
      </c>
      <c r="B178" s="5" t="s">
        <v>23</v>
      </c>
      <c r="C178" s="5">
        <v>36.120399999999997</v>
      </c>
      <c r="D178" s="5">
        <v>-5.3421000000000003</v>
      </c>
      <c r="E178" s="5" t="s">
        <v>352</v>
      </c>
      <c r="F178" s="5" t="s">
        <v>19</v>
      </c>
      <c r="G178" s="5" t="s">
        <v>494</v>
      </c>
      <c r="H178" s="5" t="s">
        <v>609</v>
      </c>
      <c r="I178" s="5" t="s">
        <v>512</v>
      </c>
      <c r="J178" s="5" t="s">
        <v>494</v>
      </c>
      <c r="K178" s="5" t="s">
        <v>494</v>
      </c>
      <c r="L178" t="s">
        <v>463</v>
      </c>
      <c r="M178" s="5" t="s">
        <v>354</v>
      </c>
      <c r="N178" s="4"/>
      <c r="O178" s="39">
        <v>42</v>
      </c>
      <c r="P178" s="4">
        <v>0</v>
      </c>
      <c r="Q178">
        <v>82</v>
      </c>
      <c r="R178" s="4">
        <v>15</v>
      </c>
      <c r="S178" t="s">
        <v>870</v>
      </c>
    </row>
    <row r="179" spans="1:73" x14ac:dyDescent="0.3">
      <c r="A179" s="5" t="s">
        <v>260</v>
      </c>
      <c r="B179" s="5" t="s">
        <v>23</v>
      </c>
      <c r="C179" s="5">
        <v>36.67577</v>
      </c>
      <c r="D179" s="5">
        <v>-5.7804460000000004</v>
      </c>
      <c r="E179" s="5" t="s">
        <v>873</v>
      </c>
      <c r="F179" s="5" t="s">
        <v>6</v>
      </c>
      <c r="G179" s="5" t="s">
        <v>494</v>
      </c>
      <c r="H179" s="5" t="s">
        <v>610</v>
      </c>
      <c r="I179" s="5" t="s">
        <v>512</v>
      </c>
      <c r="J179" s="5" t="s">
        <v>494</v>
      </c>
      <c r="K179" s="5" t="s">
        <v>494</v>
      </c>
      <c r="L179" t="s">
        <v>459</v>
      </c>
      <c r="M179" s="5" t="s">
        <v>368</v>
      </c>
      <c r="N179" s="4"/>
      <c r="O179" s="39" t="s">
        <v>394</v>
      </c>
      <c r="P179" s="4" t="s">
        <v>500</v>
      </c>
      <c r="Q179" s="4" t="s">
        <v>628</v>
      </c>
      <c r="R179" s="4" t="s">
        <v>628</v>
      </c>
      <c r="S179" t="s">
        <v>877</v>
      </c>
      <c r="T179" s="40" t="s">
        <v>878</v>
      </c>
    </row>
    <row r="180" spans="1:73" x14ac:dyDescent="0.3">
      <c r="A180" s="5" t="s">
        <v>260</v>
      </c>
      <c r="B180" s="5" t="s">
        <v>23</v>
      </c>
      <c r="C180" s="5">
        <v>36.67577</v>
      </c>
      <c r="D180" s="5">
        <v>-5.7804460000000004</v>
      </c>
      <c r="E180" s="5" t="s">
        <v>241</v>
      </c>
      <c r="F180" s="5" t="s">
        <v>24</v>
      </c>
      <c r="G180" s="5" t="s">
        <v>494</v>
      </c>
      <c r="H180" s="5" t="s">
        <v>611</v>
      </c>
      <c r="I180" s="5" t="s">
        <v>512</v>
      </c>
      <c r="J180" s="5" t="s">
        <v>494</v>
      </c>
      <c r="K180" s="5" t="s">
        <v>494</v>
      </c>
      <c r="L180" t="s">
        <v>459</v>
      </c>
      <c r="M180" s="5" t="s">
        <v>875</v>
      </c>
      <c r="N180" s="4"/>
      <c r="O180" s="43">
        <v>0.94</v>
      </c>
      <c r="P180" s="83">
        <v>0</v>
      </c>
      <c r="Q180" s="83">
        <v>0</v>
      </c>
      <c r="R180" s="44">
        <v>0.06</v>
      </c>
      <c r="S180" t="s">
        <v>874</v>
      </c>
    </row>
    <row r="181" spans="1:73" x14ac:dyDescent="0.3">
      <c r="A181" s="5" t="s">
        <v>260</v>
      </c>
      <c r="B181" s="5" t="s">
        <v>23</v>
      </c>
      <c r="C181" s="5">
        <v>36.67577</v>
      </c>
      <c r="D181" s="5">
        <v>-5.7804460000000004</v>
      </c>
      <c r="E181" s="5" t="s">
        <v>259</v>
      </c>
      <c r="F181" s="5" t="s">
        <v>19</v>
      </c>
      <c r="G181" s="5" t="s">
        <v>493</v>
      </c>
      <c r="H181" s="5" t="s">
        <v>313</v>
      </c>
      <c r="I181" s="5" t="s">
        <v>512</v>
      </c>
      <c r="J181" s="5" t="s">
        <v>494</v>
      </c>
      <c r="K181" s="5" t="s">
        <v>494</v>
      </c>
      <c r="L181" t="s">
        <v>459</v>
      </c>
      <c r="M181" s="5" t="s">
        <v>876</v>
      </c>
      <c r="N181" s="4"/>
      <c r="O181" s="69">
        <v>0.96199999999999997</v>
      </c>
      <c r="P181" s="83">
        <v>0</v>
      </c>
      <c r="Q181" s="92">
        <v>2E-3</v>
      </c>
      <c r="R181" s="70">
        <v>3.1E-2</v>
      </c>
      <c r="S181" t="s">
        <v>874</v>
      </c>
    </row>
    <row r="182" spans="1:73" x14ac:dyDescent="0.3">
      <c r="A182" s="5" t="s">
        <v>261</v>
      </c>
      <c r="B182" s="5" t="s">
        <v>15</v>
      </c>
      <c r="C182" s="5">
        <v>36.278215000000003</v>
      </c>
      <c r="D182" s="5">
        <v>-6.0927680000000004</v>
      </c>
      <c r="E182" s="5" t="s">
        <v>879</v>
      </c>
      <c r="F182" s="5" t="s">
        <v>19</v>
      </c>
      <c r="G182" s="5" t="s">
        <v>493</v>
      </c>
      <c r="H182" s="5" t="s">
        <v>313</v>
      </c>
      <c r="I182" s="5" t="s">
        <v>512</v>
      </c>
      <c r="J182" s="5" t="s">
        <v>494</v>
      </c>
      <c r="K182" s="5" t="s">
        <v>493</v>
      </c>
      <c r="L182" t="s">
        <v>463</v>
      </c>
      <c r="M182" s="5" t="s">
        <v>262</v>
      </c>
      <c r="N182" s="4"/>
      <c r="O182" s="69">
        <v>0.98599999999999999</v>
      </c>
      <c r="P182" s="83">
        <v>0</v>
      </c>
      <c r="Q182" s="83">
        <v>0</v>
      </c>
      <c r="R182" s="70">
        <v>1.4E-2</v>
      </c>
      <c r="S182" t="s">
        <v>880</v>
      </c>
    </row>
    <row r="183" spans="1:73" x14ac:dyDescent="0.3">
      <c r="A183" s="5" t="s">
        <v>264</v>
      </c>
      <c r="B183" s="5" t="s">
        <v>5</v>
      </c>
      <c r="C183" s="5">
        <v>38.078600000000002</v>
      </c>
      <c r="D183" s="5">
        <v>-1.4897</v>
      </c>
      <c r="E183" s="5" t="s">
        <v>882</v>
      </c>
      <c r="F183" s="5" t="s">
        <v>6</v>
      </c>
      <c r="G183" s="5" t="s">
        <v>494</v>
      </c>
      <c r="H183" s="5" t="s">
        <v>886</v>
      </c>
      <c r="I183" s="5" t="s">
        <v>815</v>
      </c>
      <c r="J183" s="5" t="s">
        <v>494</v>
      </c>
      <c r="K183" s="5" t="s">
        <v>494</v>
      </c>
      <c r="L183" t="s">
        <v>465</v>
      </c>
      <c r="M183" s="5" t="s">
        <v>890</v>
      </c>
      <c r="N183" s="4" t="s">
        <v>894</v>
      </c>
      <c r="O183" s="46">
        <v>270</v>
      </c>
      <c r="P183" s="93">
        <v>0</v>
      </c>
      <c r="Q183" s="93">
        <v>0</v>
      </c>
      <c r="R183" s="47">
        <v>7</v>
      </c>
      <c r="S183" t="s">
        <v>895</v>
      </c>
      <c r="T183" s="40" t="s">
        <v>898</v>
      </c>
    </row>
    <row r="184" spans="1:73" x14ac:dyDescent="0.3">
      <c r="A184" s="5" t="s">
        <v>264</v>
      </c>
      <c r="B184" s="5" t="s">
        <v>5</v>
      </c>
      <c r="C184" s="5">
        <v>38.078600000000002</v>
      </c>
      <c r="D184" s="5">
        <v>-1.4897</v>
      </c>
      <c r="E184" s="5" t="s">
        <v>883</v>
      </c>
      <c r="F184" s="5" t="s">
        <v>35</v>
      </c>
      <c r="G184" s="5" t="s">
        <v>494</v>
      </c>
      <c r="H184" s="5" t="s">
        <v>888</v>
      </c>
      <c r="I184" s="5" t="s">
        <v>815</v>
      </c>
      <c r="J184" s="5" t="s">
        <v>494</v>
      </c>
      <c r="K184" s="5" t="s">
        <v>494</v>
      </c>
      <c r="L184" t="s">
        <v>465</v>
      </c>
      <c r="M184" s="5" t="s">
        <v>891</v>
      </c>
      <c r="N184" s="4" t="s">
        <v>894</v>
      </c>
      <c r="O184" s="46">
        <v>3365</v>
      </c>
      <c r="P184" s="93">
        <v>5</v>
      </c>
      <c r="Q184" s="93">
        <v>7</v>
      </c>
      <c r="R184" s="47">
        <v>121</v>
      </c>
      <c r="S184" t="s">
        <v>896</v>
      </c>
      <c r="T184" s="40" t="s">
        <v>898</v>
      </c>
    </row>
    <row r="185" spans="1:73" x14ac:dyDescent="0.3">
      <c r="A185" s="5" t="s">
        <v>264</v>
      </c>
      <c r="B185" s="5" t="s">
        <v>5</v>
      </c>
      <c r="C185" s="5">
        <v>38.078600000000002</v>
      </c>
      <c r="D185" s="5">
        <v>-1.4897</v>
      </c>
      <c r="E185" s="5" t="s">
        <v>884</v>
      </c>
      <c r="F185" s="5" t="s">
        <v>24</v>
      </c>
      <c r="G185" s="5" t="s">
        <v>494</v>
      </c>
      <c r="H185" s="5" t="s">
        <v>887</v>
      </c>
      <c r="I185" s="5" t="s">
        <v>815</v>
      </c>
      <c r="J185" s="5" t="s">
        <v>494</v>
      </c>
      <c r="K185" s="5" t="s">
        <v>494</v>
      </c>
      <c r="L185" t="s">
        <v>465</v>
      </c>
      <c r="M185" s="5" t="s">
        <v>892</v>
      </c>
      <c r="N185" s="4" t="s">
        <v>894</v>
      </c>
      <c r="O185" s="39">
        <v>82</v>
      </c>
      <c r="P185" s="4">
        <v>0</v>
      </c>
      <c r="Q185" s="4">
        <v>0</v>
      </c>
      <c r="R185" s="4">
        <v>0</v>
      </c>
      <c r="S185" t="s">
        <v>897</v>
      </c>
    </row>
    <row r="186" spans="1:73" x14ac:dyDescent="0.3">
      <c r="A186" s="5" t="s">
        <v>264</v>
      </c>
      <c r="B186" s="5" t="s">
        <v>5</v>
      </c>
      <c r="C186" s="5">
        <v>38.078600000000002</v>
      </c>
      <c r="D186" s="5">
        <v>-1.4897</v>
      </c>
      <c r="E186" s="5" t="s">
        <v>885</v>
      </c>
      <c r="F186" s="5" t="s">
        <v>19</v>
      </c>
      <c r="G186" s="5" t="s">
        <v>494</v>
      </c>
      <c r="H186" s="5" t="s">
        <v>889</v>
      </c>
      <c r="I186" s="5" t="s">
        <v>899</v>
      </c>
      <c r="J186" s="5" t="s">
        <v>494</v>
      </c>
      <c r="K186" s="5" t="s">
        <v>494</v>
      </c>
      <c r="L186" t="s">
        <v>465</v>
      </c>
      <c r="M186" s="5" t="s">
        <v>893</v>
      </c>
      <c r="N186" s="4" t="s">
        <v>894</v>
      </c>
      <c r="O186" s="39" t="s">
        <v>394</v>
      </c>
      <c r="P186" s="4" t="s">
        <v>500</v>
      </c>
      <c r="Q186" s="4" t="s">
        <v>628</v>
      </c>
      <c r="R186" s="4" t="s">
        <v>628</v>
      </c>
      <c r="S186" t="s">
        <v>881</v>
      </c>
      <c r="T186" s="40" t="s">
        <v>757</v>
      </c>
    </row>
    <row r="187" spans="1:73" s="107" customFormat="1" x14ac:dyDescent="0.3">
      <c r="A187" s="105" t="s">
        <v>265</v>
      </c>
      <c r="B187" s="105" t="s">
        <v>23</v>
      </c>
      <c r="C187" s="105">
        <v>37.78</v>
      </c>
      <c r="D187" s="105">
        <v>-0.91</v>
      </c>
      <c r="E187" s="105" t="s">
        <v>479</v>
      </c>
      <c r="F187" s="105" t="s">
        <v>6</v>
      </c>
      <c r="G187" s="105" t="s">
        <v>493</v>
      </c>
      <c r="H187" s="105" t="s">
        <v>313</v>
      </c>
      <c r="I187" s="105" t="s">
        <v>512</v>
      </c>
      <c r="J187" s="105" t="s">
        <v>494</v>
      </c>
      <c r="K187" s="105" t="s">
        <v>494</v>
      </c>
      <c r="L187" s="107" t="s">
        <v>463</v>
      </c>
      <c r="M187" s="105" t="s">
        <v>905</v>
      </c>
      <c r="N187" s="71" t="s">
        <v>906</v>
      </c>
      <c r="O187" s="111">
        <v>0.63500000000000001</v>
      </c>
      <c r="P187" s="112">
        <v>0</v>
      </c>
      <c r="Q187" s="112">
        <v>0</v>
      </c>
      <c r="R187" s="113">
        <v>0.26</v>
      </c>
      <c r="S187" s="107" t="s">
        <v>904</v>
      </c>
      <c r="T187" s="110"/>
      <c r="BU187" s="107" t="s">
        <v>266</v>
      </c>
    </row>
    <row r="188" spans="1:73" x14ac:dyDescent="0.3">
      <c r="A188" s="5" t="s">
        <v>267</v>
      </c>
      <c r="B188" s="5" t="s">
        <v>23</v>
      </c>
      <c r="C188" s="5">
        <v>37.441699999999997</v>
      </c>
      <c r="D188" s="5">
        <v>-3.4283000000000001</v>
      </c>
      <c r="E188" s="5" t="s">
        <v>909</v>
      </c>
      <c r="F188" s="5" t="s">
        <v>6</v>
      </c>
      <c r="G188" s="5" t="s">
        <v>493</v>
      </c>
      <c r="H188" s="5" t="s">
        <v>313</v>
      </c>
      <c r="I188" s="5" t="s">
        <v>512</v>
      </c>
      <c r="J188" s="5" t="s">
        <v>494</v>
      </c>
      <c r="K188" s="5" t="s">
        <v>493</v>
      </c>
      <c r="L188" t="s">
        <v>472</v>
      </c>
      <c r="M188" s="5" t="s">
        <v>907</v>
      </c>
      <c r="N188" s="4"/>
      <c r="O188" s="39">
        <v>5</v>
      </c>
      <c r="P188" s="4">
        <v>0</v>
      </c>
      <c r="Q188" s="4">
        <v>0</v>
      </c>
      <c r="R188" s="4">
        <v>0</v>
      </c>
      <c r="S188" t="s">
        <v>908</v>
      </c>
    </row>
    <row r="189" spans="1:73" x14ac:dyDescent="0.3">
      <c r="A189" s="5" t="s">
        <v>267</v>
      </c>
      <c r="B189" s="5" t="s">
        <v>23</v>
      </c>
      <c r="C189" s="5">
        <v>37.441699999999997</v>
      </c>
      <c r="D189" s="5">
        <v>-3.4283000000000001</v>
      </c>
      <c r="E189" s="5" t="s">
        <v>910</v>
      </c>
      <c r="F189" s="5" t="s">
        <v>19</v>
      </c>
      <c r="G189" s="5" t="s">
        <v>493</v>
      </c>
      <c r="H189" s="5" t="s">
        <v>313</v>
      </c>
      <c r="I189" s="5" t="s">
        <v>512</v>
      </c>
      <c r="J189" s="5" t="s">
        <v>494</v>
      </c>
      <c r="K189" s="5" t="s">
        <v>494</v>
      </c>
      <c r="L189" t="s">
        <v>472</v>
      </c>
      <c r="M189" s="5" t="s">
        <v>907</v>
      </c>
      <c r="N189" s="4"/>
      <c r="O189" s="39">
        <v>415</v>
      </c>
      <c r="P189" s="4">
        <v>0</v>
      </c>
      <c r="Q189" s="4">
        <v>0</v>
      </c>
      <c r="R189" s="4">
        <v>0</v>
      </c>
      <c r="S189" t="s">
        <v>908</v>
      </c>
    </row>
    <row r="190" spans="1:73" x14ac:dyDescent="0.3">
      <c r="A190" s="5" t="s">
        <v>268</v>
      </c>
      <c r="B190" s="5" t="s">
        <v>15</v>
      </c>
      <c r="C190" s="5">
        <v>37.2883</v>
      </c>
      <c r="D190" s="5">
        <v>-3.6625000000000001</v>
      </c>
      <c r="E190" s="5" t="s">
        <v>280</v>
      </c>
      <c r="F190" s="5" t="s">
        <v>19</v>
      </c>
      <c r="G190" s="5" t="s">
        <v>493</v>
      </c>
      <c r="H190" s="5" t="s">
        <v>313</v>
      </c>
      <c r="I190" s="5" t="s">
        <v>512</v>
      </c>
      <c r="J190" s="5" t="s">
        <v>494</v>
      </c>
      <c r="K190" s="5" t="s">
        <v>494</v>
      </c>
      <c r="L190" t="s">
        <v>476</v>
      </c>
      <c r="M190" s="5" t="s">
        <v>297</v>
      </c>
      <c r="N190" s="4"/>
      <c r="O190" s="39">
        <v>4783</v>
      </c>
      <c r="P190" s="4">
        <v>0</v>
      </c>
      <c r="Q190" s="4">
        <v>0</v>
      </c>
      <c r="R190" s="4">
        <v>0</v>
      </c>
      <c r="S190" t="s">
        <v>911</v>
      </c>
    </row>
    <row r="191" spans="1:73" x14ac:dyDescent="0.3">
      <c r="A191" s="5" t="s">
        <v>269</v>
      </c>
      <c r="B191" s="5" t="s">
        <v>5</v>
      </c>
      <c r="C191" s="5">
        <v>37.866700000000002</v>
      </c>
      <c r="D191" s="5">
        <v>-4.1833</v>
      </c>
      <c r="E191" s="5" t="s">
        <v>255</v>
      </c>
      <c r="F191" s="5" t="s">
        <v>19</v>
      </c>
      <c r="G191" s="5" t="s">
        <v>493</v>
      </c>
      <c r="H191" s="5" t="s">
        <v>313</v>
      </c>
      <c r="I191" s="5" t="s">
        <v>512</v>
      </c>
      <c r="J191" s="5" t="s">
        <v>494</v>
      </c>
      <c r="K191" s="5" t="s">
        <v>493</v>
      </c>
      <c r="L191" t="s">
        <v>470</v>
      </c>
      <c r="M191" s="5" t="s">
        <v>912</v>
      </c>
      <c r="N191" s="4"/>
      <c r="O191" s="39" t="s">
        <v>394</v>
      </c>
      <c r="P191" s="4" t="s">
        <v>500</v>
      </c>
      <c r="Q191" s="4" t="s">
        <v>500</v>
      </c>
      <c r="R191" s="4" t="s">
        <v>500</v>
      </c>
      <c r="S191" t="s">
        <v>913</v>
      </c>
    </row>
    <row r="192" spans="1:73" s="107" customFormat="1" x14ac:dyDescent="0.3">
      <c r="A192" s="105" t="s">
        <v>270</v>
      </c>
      <c r="B192" s="105" t="s">
        <v>15</v>
      </c>
      <c r="C192" s="105">
        <v>38.93</v>
      </c>
      <c r="D192" s="105">
        <v>-0.26</v>
      </c>
      <c r="E192" s="105" t="s">
        <v>358</v>
      </c>
      <c r="F192" s="105" t="s">
        <v>19</v>
      </c>
      <c r="G192" s="105" t="s">
        <v>493</v>
      </c>
      <c r="H192" s="105" t="s">
        <v>313</v>
      </c>
      <c r="I192" s="105" t="s">
        <v>512</v>
      </c>
      <c r="J192" s="105" t="s">
        <v>493</v>
      </c>
      <c r="K192" s="105" t="s">
        <v>493</v>
      </c>
      <c r="L192" s="107" t="s">
        <v>459</v>
      </c>
      <c r="M192" s="105" t="s">
        <v>357</v>
      </c>
      <c r="N192" s="106"/>
      <c r="O192" s="109" t="s">
        <v>394</v>
      </c>
      <c r="P192" s="106" t="s">
        <v>500</v>
      </c>
      <c r="Q192" s="106" t="s">
        <v>500</v>
      </c>
      <c r="R192" s="107" t="s">
        <v>507</v>
      </c>
      <c r="S192" s="107" t="s">
        <v>914</v>
      </c>
      <c r="T192" s="110"/>
    </row>
    <row r="193" spans="1:20" x14ac:dyDescent="0.3">
      <c r="A193" s="5" t="s">
        <v>271</v>
      </c>
      <c r="B193" s="5" t="s">
        <v>5</v>
      </c>
      <c r="C193" s="5">
        <v>38.255380000000002</v>
      </c>
      <c r="D193" s="5">
        <v>-0.80683800000000006</v>
      </c>
      <c r="E193" s="5" t="s">
        <v>359</v>
      </c>
      <c r="F193" s="5" t="s">
        <v>24</v>
      </c>
      <c r="G193" s="5" t="s">
        <v>494</v>
      </c>
      <c r="H193" s="5" t="s">
        <v>916</v>
      </c>
      <c r="I193" s="5" t="s">
        <v>512</v>
      </c>
      <c r="J193" s="5" t="s">
        <v>494</v>
      </c>
      <c r="K193" s="5" t="s">
        <v>494</v>
      </c>
      <c r="L193" t="s">
        <v>464</v>
      </c>
      <c r="M193" s="5" t="s">
        <v>915</v>
      </c>
      <c r="N193" s="4"/>
      <c r="O193" s="43">
        <v>0.98</v>
      </c>
      <c r="P193" s="83">
        <v>0</v>
      </c>
      <c r="Q193" s="83">
        <v>0</v>
      </c>
      <c r="R193" s="44">
        <v>0.02</v>
      </c>
      <c r="S193" t="s">
        <v>917</v>
      </c>
      <c r="T193" s="40" t="s">
        <v>919</v>
      </c>
    </row>
    <row r="194" spans="1:20" x14ac:dyDescent="0.3">
      <c r="A194" s="5" t="s">
        <v>271</v>
      </c>
      <c r="B194" s="5" t="s">
        <v>5</v>
      </c>
      <c r="C194" s="5">
        <v>38.255380000000002</v>
      </c>
      <c r="D194" s="5">
        <v>-0.80683800000000006</v>
      </c>
      <c r="E194" s="5" t="s">
        <v>918</v>
      </c>
      <c r="F194" s="5" t="s">
        <v>19</v>
      </c>
      <c r="G194" s="5" t="s">
        <v>493</v>
      </c>
      <c r="H194" s="5" t="s">
        <v>313</v>
      </c>
      <c r="I194" s="5" t="s">
        <v>512</v>
      </c>
      <c r="J194" s="5" t="s">
        <v>494</v>
      </c>
      <c r="K194" s="5" t="s">
        <v>494</v>
      </c>
      <c r="L194" t="s">
        <v>464</v>
      </c>
      <c r="M194" s="5" t="s">
        <v>915</v>
      </c>
      <c r="N194" s="4"/>
      <c r="O194" s="43">
        <v>0.98</v>
      </c>
      <c r="P194" s="83">
        <v>0</v>
      </c>
      <c r="Q194" s="83">
        <v>0</v>
      </c>
      <c r="R194" s="44">
        <v>0.02</v>
      </c>
      <c r="S194" t="s">
        <v>917</v>
      </c>
      <c r="T194" s="40" t="s">
        <v>920</v>
      </c>
    </row>
    <row r="195" spans="1:20" s="64" customFormat="1" x14ac:dyDescent="0.3">
      <c r="A195" s="13" t="s">
        <v>272</v>
      </c>
      <c r="B195" s="13" t="s">
        <v>5</v>
      </c>
      <c r="C195" s="13">
        <v>37.799700000000001</v>
      </c>
      <c r="D195" s="13">
        <v>-0.89670000000000005</v>
      </c>
      <c r="E195" s="13" t="s">
        <v>292</v>
      </c>
      <c r="F195" s="13" t="s">
        <v>6</v>
      </c>
      <c r="G195" s="13" t="s">
        <v>494</v>
      </c>
      <c r="H195" s="13" t="s">
        <v>612</v>
      </c>
      <c r="I195" s="13" t="s">
        <v>508</v>
      </c>
      <c r="J195" s="13" t="s">
        <v>494</v>
      </c>
      <c r="K195" s="13" t="s">
        <v>494</v>
      </c>
      <c r="L195" s="94" t="s">
        <v>464</v>
      </c>
      <c r="M195" s="13" t="s">
        <v>273</v>
      </c>
      <c r="N195" s="62" t="s">
        <v>218</v>
      </c>
      <c r="O195" s="63" t="s">
        <v>507</v>
      </c>
      <c r="P195" s="62" t="s">
        <v>507</v>
      </c>
      <c r="Q195" s="62" t="s">
        <v>507</v>
      </c>
      <c r="R195" s="64" t="s">
        <v>507</v>
      </c>
      <c r="S195" s="64" t="s">
        <v>921</v>
      </c>
      <c r="T195" s="65" t="s">
        <v>922</v>
      </c>
    </row>
    <row r="196" spans="1:20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M196" s="4"/>
      <c r="N196" s="4"/>
    </row>
    <row r="197" spans="1:20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M197" s="4"/>
      <c r="N197" s="4"/>
    </row>
    <row r="198" spans="1:20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M198" s="4"/>
      <c r="N198" s="4"/>
    </row>
    <row r="199" spans="1:20" x14ac:dyDescent="0.3">
      <c r="A199" s="4" t="s">
        <v>314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M199" s="4"/>
      <c r="N199" s="4"/>
    </row>
    <row r="200" spans="1:20" x14ac:dyDescent="0.3">
      <c r="A200" s="4" t="s">
        <v>319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M200" s="4"/>
      <c r="N200" s="4"/>
    </row>
    <row r="201" spans="1:20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M201" s="4"/>
      <c r="N201" s="4"/>
    </row>
    <row r="202" spans="1:20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M202" s="4"/>
      <c r="N202" s="4"/>
    </row>
    <row r="203" spans="1:20" x14ac:dyDescent="0.3">
      <c r="A203" s="15" t="s">
        <v>361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M203" s="4"/>
      <c r="N203" s="4"/>
    </row>
    <row r="204" spans="1:20" x14ac:dyDescent="0.3">
      <c r="A204" s="16" t="s">
        <v>362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M204" s="4"/>
      <c r="N204" s="4"/>
    </row>
    <row r="205" spans="1:20" x14ac:dyDescent="0.3">
      <c r="A205" s="17" t="s">
        <v>364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M205" s="4"/>
      <c r="N205" s="4"/>
    </row>
    <row r="206" spans="1:20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M206" s="4"/>
      <c r="N206" s="4"/>
    </row>
    <row r="207" spans="1:20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M207" s="4"/>
      <c r="N207" s="4"/>
    </row>
    <row r="208" spans="1:20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M208" s="4"/>
      <c r="N208" s="4"/>
    </row>
    <row r="209" spans="1:14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M209" s="4"/>
      <c r="N209" s="4"/>
    </row>
    <row r="210" spans="1:14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M210" s="4"/>
      <c r="N210" s="4"/>
    </row>
    <row r="211" spans="1:14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M211" s="4"/>
      <c r="N211" s="4"/>
    </row>
    <row r="212" spans="1:14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M212" s="4"/>
      <c r="N212" s="4"/>
    </row>
    <row r="213" spans="1:14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M213" s="4"/>
      <c r="N213" s="4"/>
    </row>
    <row r="214" spans="1:14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M214" s="4"/>
      <c r="N214" s="4"/>
    </row>
    <row r="215" spans="1:14" x14ac:dyDescent="0.3">
      <c r="A215"/>
      <c r="B215"/>
      <c r="C215"/>
      <c r="D215"/>
      <c r="E215"/>
      <c r="F215"/>
      <c r="G215"/>
      <c r="H215"/>
      <c r="I215"/>
      <c r="J215"/>
      <c r="K215"/>
      <c r="M215"/>
    </row>
    <row r="216" spans="1:14" x14ac:dyDescent="0.3">
      <c r="A216"/>
      <c r="B216"/>
      <c r="C216"/>
      <c r="D216"/>
      <c r="E216"/>
      <c r="F216"/>
      <c r="G216"/>
      <c r="H216"/>
      <c r="I216"/>
      <c r="J216"/>
      <c r="K216"/>
      <c r="M216"/>
    </row>
    <row r="217" spans="1:14" x14ac:dyDescent="0.3">
      <c r="A217"/>
      <c r="B217"/>
      <c r="C217"/>
      <c r="D217"/>
      <c r="E217"/>
      <c r="F217"/>
      <c r="G217"/>
      <c r="H217"/>
      <c r="I217"/>
      <c r="J217"/>
      <c r="K217"/>
      <c r="M217"/>
    </row>
    <row r="218" spans="1:14" x14ac:dyDescent="0.3">
      <c r="A218"/>
      <c r="B218"/>
      <c r="C218"/>
      <c r="D218"/>
      <c r="E218"/>
      <c r="F218"/>
      <c r="G218"/>
      <c r="H218"/>
      <c r="I218"/>
      <c r="J218"/>
      <c r="K218"/>
      <c r="M218"/>
    </row>
    <row r="219" spans="1:14" x14ac:dyDescent="0.3">
      <c r="A219"/>
      <c r="B219"/>
      <c r="C219"/>
      <c r="D219"/>
      <c r="E219"/>
      <c r="F219"/>
      <c r="G219"/>
      <c r="H219"/>
      <c r="I219"/>
      <c r="J219"/>
      <c r="K219"/>
      <c r="M219"/>
    </row>
    <row r="220" spans="1:14" x14ac:dyDescent="0.3">
      <c r="A220"/>
      <c r="B220"/>
      <c r="C220"/>
      <c r="D220"/>
      <c r="E220"/>
      <c r="F220"/>
      <c r="G220"/>
      <c r="H220"/>
      <c r="I220"/>
      <c r="J220"/>
      <c r="K220"/>
      <c r="M220"/>
    </row>
    <row r="221" spans="1:14" x14ac:dyDescent="0.3">
      <c r="A221"/>
      <c r="B221"/>
      <c r="C221"/>
      <c r="D221"/>
      <c r="E221"/>
      <c r="F221"/>
      <c r="G221"/>
      <c r="H221"/>
      <c r="I221"/>
      <c r="J221"/>
      <c r="K221"/>
      <c r="M221"/>
    </row>
    <row r="222" spans="1:14" x14ac:dyDescent="0.3">
      <c r="A222"/>
      <c r="B222"/>
      <c r="C222"/>
      <c r="D222"/>
      <c r="E222"/>
      <c r="F222"/>
      <c r="G222"/>
      <c r="H222"/>
      <c r="I222"/>
      <c r="J222"/>
      <c r="K222"/>
      <c r="M222"/>
    </row>
    <row r="223" spans="1:14" x14ac:dyDescent="0.3">
      <c r="A223"/>
      <c r="B223"/>
      <c r="C223"/>
      <c r="D223"/>
      <c r="E223"/>
      <c r="F223"/>
      <c r="G223"/>
      <c r="H223"/>
      <c r="I223"/>
      <c r="J223"/>
      <c r="K223"/>
      <c r="M223"/>
    </row>
    <row r="224" spans="1:14" x14ac:dyDescent="0.3">
      <c r="A224"/>
      <c r="B224"/>
      <c r="C224"/>
      <c r="D224"/>
      <c r="E224"/>
      <c r="F224"/>
      <c r="G224"/>
      <c r="H224"/>
      <c r="I224"/>
      <c r="J224"/>
      <c r="K224"/>
      <c r="M224"/>
    </row>
    <row r="225" spans="1:13" x14ac:dyDescent="0.3">
      <c r="A225"/>
      <c r="B225"/>
      <c r="C225"/>
      <c r="D225"/>
      <c r="E225"/>
      <c r="F225"/>
      <c r="G225"/>
      <c r="H225"/>
      <c r="I225"/>
      <c r="J225"/>
      <c r="K225"/>
      <c r="M225"/>
    </row>
    <row r="226" spans="1:13" x14ac:dyDescent="0.3">
      <c r="A226"/>
      <c r="B226"/>
      <c r="C226"/>
      <c r="D226"/>
      <c r="E226"/>
      <c r="F226"/>
      <c r="G226"/>
      <c r="H226"/>
      <c r="I226"/>
      <c r="J226"/>
      <c r="K226"/>
      <c r="M226"/>
    </row>
    <row r="227" spans="1:13" x14ac:dyDescent="0.3">
      <c r="A227"/>
      <c r="B227"/>
      <c r="C227"/>
      <c r="D227"/>
      <c r="E227"/>
      <c r="F227"/>
      <c r="G227"/>
      <c r="H227"/>
      <c r="I227"/>
      <c r="J227"/>
      <c r="K227"/>
      <c r="M227"/>
    </row>
    <row r="228" spans="1:13" x14ac:dyDescent="0.3">
      <c r="A228"/>
      <c r="B228"/>
      <c r="C228"/>
      <c r="D228"/>
      <c r="E228"/>
      <c r="F228"/>
      <c r="G228"/>
      <c r="H228"/>
      <c r="I228"/>
      <c r="J228"/>
      <c r="K228"/>
      <c r="M228"/>
    </row>
    <row r="229" spans="1:13" x14ac:dyDescent="0.3">
      <c r="A229"/>
      <c r="B229"/>
      <c r="C229"/>
      <c r="D229"/>
      <c r="E229"/>
      <c r="F229"/>
      <c r="G229"/>
      <c r="H229"/>
      <c r="I229"/>
      <c r="J229"/>
      <c r="K229"/>
      <c r="M229"/>
    </row>
    <row r="230" spans="1:13" x14ac:dyDescent="0.3">
      <c r="A230"/>
      <c r="B230"/>
      <c r="C230"/>
      <c r="D230"/>
      <c r="E230"/>
      <c r="F230"/>
      <c r="G230"/>
      <c r="H230"/>
      <c r="I230"/>
      <c r="J230"/>
      <c r="K230"/>
      <c r="M230"/>
    </row>
    <row r="231" spans="1:13" x14ac:dyDescent="0.3">
      <c r="A231"/>
      <c r="B231"/>
      <c r="C231"/>
      <c r="D231"/>
      <c r="E231"/>
      <c r="F231"/>
      <c r="G231"/>
      <c r="H231"/>
      <c r="I231"/>
      <c r="J231"/>
      <c r="K231"/>
      <c r="M231"/>
    </row>
    <row r="232" spans="1:13" x14ac:dyDescent="0.3">
      <c r="A232"/>
      <c r="B232"/>
      <c r="C232"/>
      <c r="D232"/>
      <c r="E232"/>
      <c r="F232"/>
      <c r="G232"/>
      <c r="H232"/>
      <c r="I232"/>
      <c r="J232"/>
      <c r="K232"/>
      <c r="M232"/>
    </row>
    <row r="233" spans="1:13" x14ac:dyDescent="0.3">
      <c r="A233"/>
      <c r="B233"/>
      <c r="C233"/>
      <c r="D233"/>
      <c r="E233"/>
      <c r="F233"/>
      <c r="G233"/>
      <c r="H233"/>
      <c r="I233"/>
      <c r="J233"/>
      <c r="K233"/>
      <c r="M233"/>
    </row>
    <row r="234" spans="1:13" x14ac:dyDescent="0.3">
      <c r="A234"/>
      <c r="B234"/>
      <c r="C234"/>
      <c r="D234"/>
      <c r="E234"/>
      <c r="F234"/>
      <c r="G234"/>
      <c r="H234"/>
      <c r="I234"/>
      <c r="J234"/>
      <c r="K234"/>
      <c r="M234"/>
    </row>
    <row r="235" spans="1:13" x14ac:dyDescent="0.3">
      <c r="A235"/>
      <c r="B235"/>
      <c r="C235"/>
      <c r="D235"/>
      <c r="E235"/>
      <c r="F235"/>
      <c r="G235"/>
      <c r="H235"/>
      <c r="I235"/>
      <c r="J235"/>
      <c r="K235"/>
      <c r="M235"/>
    </row>
    <row r="236" spans="1:13" x14ac:dyDescent="0.3">
      <c r="A236"/>
      <c r="B236"/>
      <c r="C236"/>
      <c r="D236"/>
      <c r="E236"/>
      <c r="F236"/>
      <c r="G236"/>
      <c r="H236"/>
      <c r="I236"/>
      <c r="J236"/>
      <c r="K236"/>
      <c r="M236"/>
    </row>
    <row r="237" spans="1:13" x14ac:dyDescent="0.3">
      <c r="A237"/>
      <c r="B237"/>
      <c r="C237"/>
      <c r="D237"/>
      <c r="E237"/>
      <c r="F237"/>
      <c r="G237"/>
      <c r="H237"/>
      <c r="I237"/>
      <c r="J237"/>
      <c r="K237"/>
      <c r="M237"/>
    </row>
    <row r="238" spans="1:13" x14ac:dyDescent="0.3">
      <c r="A238"/>
      <c r="B238"/>
      <c r="C238"/>
      <c r="D238"/>
      <c r="E238"/>
      <c r="F238"/>
      <c r="G238"/>
      <c r="H238"/>
      <c r="I238"/>
      <c r="J238"/>
      <c r="K238"/>
      <c r="M238"/>
    </row>
    <row r="239" spans="1:13" x14ac:dyDescent="0.3">
      <c r="A239"/>
      <c r="B239"/>
      <c r="C239"/>
      <c r="D239"/>
      <c r="E239"/>
      <c r="F239"/>
      <c r="G239"/>
      <c r="H239"/>
      <c r="I239"/>
      <c r="J239"/>
      <c r="K239"/>
      <c r="M239"/>
    </row>
    <row r="240" spans="1:13" x14ac:dyDescent="0.3">
      <c r="A240"/>
      <c r="B240"/>
      <c r="C240"/>
      <c r="D240"/>
      <c r="E240"/>
      <c r="F240"/>
      <c r="G240"/>
      <c r="H240"/>
      <c r="I240"/>
      <c r="J240"/>
      <c r="K240"/>
      <c r="M240"/>
    </row>
    <row r="241" spans="1:13" x14ac:dyDescent="0.3">
      <c r="A241"/>
      <c r="B241"/>
      <c r="C241"/>
      <c r="D241"/>
      <c r="E241"/>
      <c r="F241"/>
      <c r="G241"/>
      <c r="H241"/>
      <c r="I241"/>
      <c r="J241"/>
      <c r="K241"/>
      <c r="M241"/>
    </row>
    <row r="242" spans="1:13" x14ac:dyDescent="0.3">
      <c r="A242"/>
      <c r="B242"/>
      <c r="C242"/>
      <c r="D242"/>
      <c r="E242"/>
      <c r="F242"/>
      <c r="G242"/>
      <c r="H242"/>
      <c r="I242"/>
      <c r="J242"/>
      <c r="K242"/>
      <c r="M242"/>
    </row>
    <row r="243" spans="1:13" x14ac:dyDescent="0.3">
      <c r="A243"/>
      <c r="B243"/>
      <c r="C243"/>
      <c r="D243"/>
      <c r="E243"/>
      <c r="F243"/>
      <c r="G243"/>
      <c r="H243"/>
      <c r="I243"/>
      <c r="J243"/>
      <c r="K243"/>
      <c r="M243"/>
    </row>
    <row r="244" spans="1:13" x14ac:dyDescent="0.3">
      <c r="A244"/>
      <c r="B244"/>
      <c r="C244"/>
      <c r="D244"/>
      <c r="E244"/>
      <c r="F244"/>
      <c r="G244"/>
      <c r="H244"/>
      <c r="I244"/>
      <c r="J244"/>
      <c r="K244"/>
      <c r="M244"/>
    </row>
    <row r="245" spans="1:13" x14ac:dyDescent="0.3">
      <c r="A245"/>
      <c r="B245"/>
      <c r="C245"/>
      <c r="D245"/>
      <c r="E245"/>
      <c r="F245"/>
      <c r="G245"/>
      <c r="H245"/>
      <c r="I245"/>
      <c r="J245"/>
      <c r="K245"/>
      <c r="M245"/>
    </row>
    <row r="246" spans="1:13" x14ac:dyDescent="0.3">
      <c r="A246"/>
      <c r="B246"/>
      <c r="C246"/>
      <c r="D246"/>
      <c r="E246"/>
      <c r="F246"/>
      <c r="G246"/>
      <c r="H246"/>
      <c r="I246"/>
      <c r="J246"/>
      <c r="K246"/>
      <c r="M246"/>
    </row>
    <row r="247" spans="1:13" x14ac:dyDescent="0.3">
      <c r="A247"/>
      <c r="B247"/>
      <c r="C247"/>
      <c r="D247"/>
      <c r="E247"/>
      <c r="F247"/>
      <c r="G247"/>
      <c r="H247"/>
      <c r="I247"/>
      <c r="J247"/>
      <c r="K247"/>
      <c r="M247"/>
    </row>
    <row r="248" spans="1:13" x14ac:dyDescent="0.3">
      <c r="A248"/>
      <c r="B248"/>
      <c r="C248"/>
      <c r="D248"/>
      <c r="E248"/>
      <c r="F248"/>
      <c r="G248"/>
      <c r="H248"/>
      <c r="I248"/>
      <c r="J248"/>
      <c r="K248"/>
      <c r="M248"/>
    </row>
    <row r="249" spans="1:13" x14ac:dyDescent="0.3">
      <c r="A249"/>
      <c r="B249"/>
      <c r="C249"/>
      <c r="D249"/>
      <c r="E249"/>
      <c r="F249"/>
      <c r="G249"/>
      <c r="H249"/>
      <c r="I249"/>
      <c r="J249"/>
      <c r="K249"/>
      <c r="M249"/>
    </row>
    <row r="250" spans="1:13" x14ac:dyDescent="0.3">
      <c r="A250"/>
      <c r="B250"/>
      <c r="C250"/>
      <c r="D250"/>
      <c r="E250"/>
      <c r="F250"/>
      <c r="G250"/>
      <c r="H250"/>
      <c r="I250"/>
      <c r="J250"/>
      <c r="K250"/>
      <c r="M250"/>
    </row>
    <row r="251" spans="1:13" x14ac:dyDescent="0.3">
      <c r="A251"/>
      <c r="B251"/>
      <c r="C251"/>
      <c r="D251"/>
      <c r="E251"/>
      <c r="F251"/>
      <c r="G251"/>
      <c r="H251"/>
      <c r="I251"/>
      <c r="J251"/>
      <c r="K251"/>
      <c r="M251"/>
    </row>
    <row r="252" spans="1:13" x14ac:dyDescent="0.3">
      <c r="A252"/>
      <c r="B252"/>
      <c r="C252"/>
      <c r="D252"/>
      <c r="E252"/>
      <c r="F252"/>
      <c r="G252"/>
      <c r="H252"/>
      <c r="I252"/>
      <c r="J252"/>
      <c r="K252"/>
      <c r="M252"/>
    </row>
    <row r="253" spans="1:13" x14ac:dyDescent="0.3">
      <c r="A253"/>
      <c r="B253"/>
      <c r="C253"/>
      <c r="D253"/>
      <c r="E253"/>
      <c r="F253"/>
      <c r="G253"/>
      <c r="H253"/>
      <c r="I253"/>
      <c r="J253"/>
      <c r="K253"/>
      <c r="M253"/>
    </row>
    <row r="254" spans="1:13" x14ac:dyDescent="0.3">
      <c r="A254"/>
      <c r="B254"/>
      <c r="C254"/>
      <c r="D254"/>
      <c r="E254"/>
      <c r="F254"/>
      <c r="G254"/>
      <c r="H254"/>
      <c r="I254"/>
      <c r="J254"/>
      <c r="K254"/>
      <c r="M254"/>
    </row>
    <row r="255" spans="1:13" x14ac:dyDescent="0.3">
      <c r="A255"/>
      <c r="B255"/>
      <c r="C255"/>
      <c r="D255"/>
      <c r="E255"/>
      <c r="F255"/>
      <c r="G255"/>
      <c r="H255"/>
      <c r="I255"/>
      <c r="J255"/>
      <c r="K255"/>
      <c r="M255"/>
    </row>
    <row r="256" spans="1:13" x14ac:dyDescent="0.3">
      <c r="A256"/>
      <c r="B256"/>
      <c r="C256"/>
      <c r="D256"/>
      <c r="E256"/>
      <c r="F256"/>
      <c r="G256"/>
      <c r="H256"/>
      <c r="I256"/>
      <c r="J256"/>
      <c r="K256"/>
      <c r="M256"/>
    </row>
    <row r="257" spans="1:13" x14ac:dyDescent="0.3">
      <c r="A257"/>
      <c r="B257"/>
      <c r="C257"/>
      <c r="D257"/>
      <c r="E257"/>
      <c r="F257"/>
      <c r="G257"/>
      <c r="H257"/>
      <c r="I257"/>
      <c r="J257"/>
      <c r="K257"/>
      <c r="M257"/>
    </row>
    <row r="258" spans="1:13" x14ac:dyDescent="0.3">
      <c r="A258"/>
      <c r="B258"/>
      <c r="C258"/>
      <c r="D258"/>
      <c r="E258"/>
      <c r="F258"/>
      <c r="G258"/>
      <c r="H258"/>
      <c r="I258"/>
      <c r="J258"/>
      <c r="K258"/>
      <c r="M258"/>
    </row>
    <row r="259" spans="1:13" x14ac:dyDescent="0.3">
      <c r="A259"/>
      <c r="B259"/>
      <c r="C259"/>
      <c r="D259"/>
      <c r="E259"/>
      <c r="F259"/>
      <c r="G259"/>
      <c r="H259"/>
      <c r="I259"/>
      <c r="J259"/>
      <c r="K259"/>
      <c r="M259"/>
    </row>
    <row r="260" spans="1:13" x14ac:dyDescent="0.3">
      <c r="A260"/>
      <c r="B260"/>
      <c r="C260"/>
      <c r="D260"/>
      <c r="E260"/>
      <c r="F260"/>
      <c r="G260"/>
      <c r="H260"/>
      <c r="I260"/>
      <c r="J260"/>
      <c r="K260"/>
      <c r="M260"/>
    </row>
    <row r="261" spans="1:13" x14ac:dyDescent="0.3">
      <c r="A261"/>
      <c r="B261"/>
      <c r="C261"/>
      <c r="D261"/>
      <c r="E261"/>
      <c r="F261"/>
      <c r="G261"/>
      <c r="H261"/>
      <c r="I261"/>
      <c r="J261"/>
      <c r="K261"/>
      <c r="M261"/>
    </row>
    <row r="262" spans="1:13" x14ac:dyDescent="0.3">
      <c r="A262"/>
      <c r="B262"/>
      <c r="C262"/>
      <c r="D262"/>
      <c r="E262"/>
      <c r="F262"/>
      <c r="G262"/>
      <c r="H262"/>
      <c r="I262"/>
      <c r="J262"/>
      <c r="K262"/>
      <c r="M262"/>
    </row>
    <row r="263" spans="1:13" x14ac:dyDescent="0.3">
      <c r="A263"/>
      <c r="B263"/>
      <c r="C263"/>
      <c r="D263"/>
      <c r="E263"/>
      <c r="F263"/>
      <c r="G263"/>
      <c r="H263"/>
      <c r="I263"/>
      <c r="J263"/>
      <c r="K263"/>
      <c r="M263"/>
    </row>
    <row r="264" spans="1:13" x14ac:dyDescent="0.3">
      <c r="A264"/>
      <c r="B264"/>
      <c r="C264"/>
      <c r="D264"/>
      <c r="E264"/>
      <c r="F264"/>
      <c r="G264"/>
      <c r="H264"/>
      <c r="I264"/>
      <c r="J264"/>
      <c r="K264"/>
      <c r="M264"/>
    </row>
    <row r="265" spans="1:13" x14ac:dyDescent="0.3">
      <c r="A265"/>
      <c r="B265"/>
      <c r="C265"/>
      <c r="D265"/>
      <c r="E265"/>
      <c r="F265"/>
      <c r="G265"/>
      <c r="H265"/>
      <c r="I265"/>
      <c r="J265"/>
      <c r="K265"/>
      <c r="M265"/>
    </row>
    <row r="266" spans="1:13" x14ac:dyDescent="0.3">
      <c r="A266"/>
      <c r="B266"/>
      <c r="C266"/>
      <c r="D266"/>
      <c r="E266"/>
      <c r="F266"/>
      <c r="G266"/>
      <c r="H266"/>
      <c r="I266"/>
      <c r="J266"/>
      <c r="K266"/>
      <c r="M266"/>
    </row>
    <row r="267" spans="1:13" x14ac:dyDescent="0.3">
      <c r="A267"/>
      <c r="B267"/>
      <c r="C267"/>
      <c r="D267"/>
      <c r="E267"/>
      <c r="F267"/>
      <c r="G267"/>
      <c r="H267"/>
      <c r="I267"/>
      <c r="J267"/>
      <c r="K267"/>
      <c r="M267"/>
    </row>
    <row r="268" spans="1:13" x14ac:dyDescent="0.3">
      <c r="A268"/>
      <c r="B268"/>
      <c r="C268"/>
      <c r="D268"/>
      <c r="E268"/>
      <c r="F268"/>
      <c r="G268"/>
      <c r="H268"/>
      <c r="I268"/>
      <c r="J268"/>
      <c r="K268"/>
      <c r="M268"/>
    </row>
    <row r="269" spans="1:13" x14ac:dyDescent="0.3">
      <c r="A269"/>
      <c r="B269"/>
      <c r="C269"/>
      <c r="D269"/>
      <c r="E269"/>
      <c r="F269"/>
      <c r="G269"/>
      <c r="H269"/>
      <c r="I269"/>
      <c r="J269"/>
      <c r="K269"/>
      <c r="M269"/>
    </row>
    <row r="270" spans="1:13" x14ac:dyDescent="0.3">
      <c r="A270"/>
      <c r="B270"/>
      <c r="C270"/>
      <c r="D270"/>
      <c r="E270"/>
      <c r="F270"/>
      <c r="G270"/>
      <c r="H270"/>
      <c r="I270"/>
      <c r="J270"/>
      <c r="K270"/>
      <c r="M270"/>
    </row>
    <row r="271" spans="1:13" x14ac:dyDescent="0.3">
      <c r="A271"/>
      <c r="B271"/>
      <c r="C271"/>
      <c r="D271"/>
      <c r="E271"/>
      <c r="F271"/>
      <c r="G271"/>
      <c r="H271"/>
      <c r="I271"/>
      <c r="J271"/>
      <c r="K271"/>
      <c r="M271"/>
    </row>
    <row r="272" spans="1:13" x14ac:dyDescent="0.3">
      <c r="A272"/>
      <c r="B272"/>
      <c r="C272"/>
      <c r="D272"/>
      <c r="E272"/>
      <c r="F272"/>
      <c r="G272"/>
      <c r="H272"/>
      <c r="I272"/>
      <c r="J272"/>
      <c r="K272"/>
      <c r="M272"/>
    </row>
    <row r="273" spans="1:13" x14ac:dyDescent="0.3">
      <c r="A273"/>
      <c r="B273"/>
      <c r="C273"/>
      <c r="D273"/>
      <c r="E273"/>
      <c r="F273"/>
      <c r="G273"/>
      <c r="H273"/>
      <c r="I273"/>
      <c r="J273"/>
      <c r="K273"/>
      <c r="M273"/>
    </row>
    <row r="274" spans="1:13" x14ac:dyDescent="0.3">
      <c r="A274"/>
      <c r="B274"/>
      <c r="C274"/>
      <c r="D274"/>
      <c r="E274"/>
      <c r="F274"/>
      <c r="G274"/>
      <c r="H274"/>
      <c r="I274"/>
      <c r="J274"/>
      <c r="K274"/>
      <c r="M274"/>
    </row>
    <row r="275" spans="1:13" x14ac:dyDescent="0.3">
      <c r="A275"/>
      <c r="B275"/>
      <c r="C275"/>
      <c r="D275"/>
      <c r="E275"/>
      <c r="F275"/>
      <c r="G275"/>
      <c r="H275"/>
      <c r="I275"/>
      <c r="J275"/>
      <c r="K275"/>
      <c r="M275"/>
    </row>
    <row r="276" spans="1:13" x14ac:dyDescent="0.3">
      <c r="A276"/>
      <c r="B276"/>
      <c r="C276"/>
      <c r="D276"/>
      <c r="E276"/>
      <c r="F276"/>
      <c r="G276"/>
      <c r="H276"/>
      <c r="I276"/>
      <c r="J276"/>
      <c r="K276"/>
      <c r="M276"/>
    </row>
    <row r="277" spans="1:13" x14ac:dyDescent="0.3">
      <c r="A277"/>
      <c r="B277"/>
      <c r="C277"/>
      <c r="D277"/>
      <c r="E277"/>
      <c r="F277"/>
      <c r="G277"/>
      <c r="H277"/>
      <c r="I277"/>
      <c r="J277"/>
      <c r="K277"/>
      <c r="M277"/>
    </row>
    <row r="278" spans="1:13" x14ac:dyDescent="0.3">
      <c r="A278"/>
      <c r="B278"/>
      <c r="C278"/>
      <c r="D278"/>
      <c r="E278"/>
      <c r="F278"/>
      <c r="G278"/>
      <c r="H278"/>
      <c r="I278"/>
      <c r="J278"/>
      <c r="K278"/>
      <c r="M278"/>
    </row>
    <row r="279" spans="1:13" x14ac:dyDescent="0.3">
      <c r="A279"/>
      <c r="B279"/>
      <c r="C279"/>
      <c r="D279"/>
      <c r="E279"/>
      <c r="F279"/>
      <c r="G279"/>
      <c r="H279"/>
      <c r="I279"/>
      <c r="J279"/>
      <c r="K279"/>
      <c r="M279"/>
    </row>
    <row r="280" spans="1:13" x14ac:dyDescent="0.3">
      <c r="A280"/>
      <c r="B280"/>
      <c r="C280"/>
      <c r="D280"/>
      <c r="E280"/>
      <c r="F280"/>
      <c r="G280"/>
      <c r="H280"/>
      <c r="I280"/>
      <c r="J280"/>
      <c r="K280"/>
      <c r="M280"/>
    </row>
    <row r="281" spans="1:13" x14ac:dyDescent="0.3">
      <c r="A281"/>
      <c r="B281"/>
      <c r="C281"/>
      <c r="D281"/>
      <c r="E281"/>
      <c r="F281"/>
      <c r="G281"/>
      <c r="H281"/>
      <c r="I281"/>
      <c r="J281"/>
      <c r="K281"/>
      <c r="M281"/>
    </row>
    <row r="282" spans="1:13" x14ac:dyDescent="0.3">
      <c r="A282"/>
      <c r="B282"/>
      <c r="C282"/>
      <c r="D282"/>
      <c r="E282"/>
      <c r="F282"/>
      <c r="G282"/>
      <c r="H282"/>
      <c r="I282"/>
      <c r="J282"/>
      <c r="K282"/>
      <c r="M282"/>
    </row>
    <row r="283" spans="1:13" x14ac:dyDescent="0.3">
      <c r="A283"/>
      <c r="B283"/>
      <c r="C283"/>
      <c r="D283"/>
      <c r="E283"/>
      <c r="F283"/>
      <c r="G283"/>
      <c r="H283"/>
      <c r="I283"/>
      <c r="J283"/>
      <c r="K283"/>
      <c r="M283"/>
    </row>
    <row r="284" spans="1:13" x14ac:dyDescent="0.3">
      <c r="A284"/>
      <c r="B284"/>
      <c r="C284"/>
      <c r="D284"/>
      <c r="E284"/>
      <c r="F284"/>
      <c r="G284"/>
      <c r="H284"/>
      <c r="I284"/>
      <c r="J284"/>
      <c r="K284"/>
      <c r="M284"/>
    </row>
    <row r="285" spans="1:13" x14ac:dyDescent="0.3">
      <c r="A285"/>
      <c r="B285"/>
      <c r="C285"/>
      <c r="D285"/>
      <c r="E285"/>
      <c r="F285"/>
      <c r="G285"/>
      <c r="H285"/>
      <c r="I285"/>
      <c r="J285"/>
      <c r="K285"/>
      <c r="M285"/>
    </row>
    <row r="286" spans="1:13" x14ac:dyDescent="0.3">
      <c r="A286"/>
      <c r="B286"/>
      <c r="C286"/>
      <c r="D286"/>
      <c r="E286"/>
      <c r="F286"/>
      <c r="G286"/>
      <c r="H286"/>
      <c r="I286"/>
      <c r="J286"/>
      <c r="K286"/>
      <c r="M286"/>
    </row>
    <row r="287" spans="1:13" x14ac:dyDescent="0.3">
      <c r="A287"/>
      <c r="B287"/>
      <c r="C287"/>
      <c r="D287"/>
      <c r="E287"/>
      <c r="F287"/>
      <c r="G287"/>
      <c r="H287"/>
      <c r="I287"/>
      <c r="J287"/>
      <c r="K287"/>
      <c r="M287"/>
    </row>
    <row r="288" spans="1:13" x14ac:dyDescent="0.3">
      <c r="A288"/>
      <c r="B288"/>
      <c r="C288"/>
      <c r="D288"/>
      <c r="E288"/>
      <c r="F288"/>
      <c r="G288"/>
      <c r="H288"/>
      <c r="I288"/>
      <c r="J288"/>
      <c r="K288"/>
      <c r="M288"/>
    </row>
    <row r="289" spans="1:13" x14ac:dyDescent="0.3">
      <c r="A289"/>
      <c r="B289"/>
      <c r="C289"/>
      <c r="D289"/>
      <c r="E289"/>
      <c r="F289"/>
      <c r="G289"/>
      <c r="H289"/>
      <c r="I289"/>
      <c r="J289"/>
      <c r="K289"/>
      <c r="M289"/>
    </row>
    <row r="290" spans="1:13" x14ac:dyDescent="0.3">
      <c r="A290"/>
      <c r="B290"/>
      <c r="C290"/>
      <c r="D290"/>
      <c r="E290"/>
      <c r="F290"/>
      <c r="G290"/>
      <c r="H290"/>
      <c r="I290"/>
      <c r="J290"/>
      <c r="K290"/>
      <c r="M290"/>
    </row>
    <row r="291" spans="1:13" x14ac:dyDescent="0.3">
      <c r="A291"/>
      <c r="B291"/>
      <c r="C291"/>
      <c r="D291"/>
      <c r="E291"/>
      <c r="F291"/>
      <c r="G291"/>
      <c r="H291"/>
      <c r="I291"/>
      <c r="J291"/>
      <c r="K291"/>
      <c r="M291"/>
    </row>
    <row r="292" spans="1:13" x14ac:dyDescent="0.3">
      <c r="A292"/>
      <c r="B292"/>
      <c r="C292"/>
      <c r="D292"/>
      <c r="E292"/>
      <c r="F292"/>
      <c r="G292"/>
      <c r="H292"/>
      <c r="I292"/>
      <c r="J292"/>
      <c r="K292"/>
      <c r="M292"/>
    </row>
    <row r="293" spans="1:13" x14ac:dyDescent="0.3">
      <c r="A293"/>
      <c r="B293"/>
      <c r="C293"/>
      <c r="D293"/>
      <c r="E293"/>
      <c r="F293"/>
      <c r="G293"/>
      <c r="H293"/>
      <c r="I293"/>
      <c r="J293"/>
      <c r="K293"/>
      <c r="M293"/>
    </row>
    <row r="294" spans="1:13" x14ac:dyDescent="0.3">
      <c r="A294"/>
      <c r="B294"/>
      <c r="C294"/>
      <c r="D294"/>
      <c r="E294"/>
      <c r="F294"/>
      <c r="G294"/>
      <c r="H294"/>
      <c r="I294"/>
      <c r="J294"/>
      <c r="K294"/>
      <c r="M294"/>
    </row>
    <row r="295" spans="1:13" x14ac:dyDescent="0.3">
      <c r="A295"/>
      <c r="B295"/>
      <c r="C295"/>
      <c r="D295"/>
      <c r="E295"/>
      <c r="F295"/>
      <c r="G295"/>
      <c r="H295"/>
      <c r="I295"/>
      <c r="J295"/>
      <c r="K295"/>
      <c r="M295"/>
    </row>
    <row r="296" spans="1:13" x14ac:dyDescent="0.3">
      <c r="A296"/>
      <c r="B296"/>
      <c r="C296"/>
      <c r="D296"/>
      <c r="E296"/>
      <c r="F296"/>
      <c r="G296"/>
      <c r="H296"/>
      <c r="I296"/>
      <c r="J296"/>
      <c r="K296"/>
      <c r="M296"/>
    </row>
    <row r="297" spans="1:13" x14ac:dyDescent="0.3">
      <c r="A297"/>
      <c r="B297"/>
      <c r="C297"/>
      <c r="D297"/>
      <c r="E297"/>
      <c r="F297"/>
      <c r="G297"/>
      <c r="H297"/>
      <c r="I297"/>
      <c r="J297"/>
      <c r="K297"/>
      <c r="M297"/>
    </row>
    <row r="298" spans="1:13" x14ac:dyDescent="0.3">
      <c r="A298"/>
      <c r="B298"/>
      <c r="C298"/>
      <c r="D298"/>
      <c r="E298"/>
      <c r="F298"/>
      <c r="G298"/>
      <c r="H298"/>
      <c r="I298"/>
      <c r="J298"/>
      <c r="K298"/>
      <c r="M298"/>
    </row>
    <row r="299" spans="1:13" x14ac:dyDescent="0.3">
      <c r="A299"/>
      <c r="B299"/>
      <c r="C299"/>
      <c r="D299"/>
      <c r="E299"/>
      <c r="F299"/>
      <c r="G299"/>
      <c r="H299"/>
      <c r="I299"/>
      <c r="J299"/>
      <c r="K299"/>
      <c r="M299"/>
    </row>
    <row r="300" spans="1:13" x14ac:dyDescent="0.3">
      <c r="A300"/>
      <c r="B300"/>
      <c r="C300"/>
      <c r="D300"/>
      <c r="E300"/>
      <c r="F300"/>
      <c r="G300"/>
      <c r="H300"/>
      <c r="I300"/>
      <c r="J300"/>
      <c r="K300"/>
      <c r="M300"/>
    </row>
    <row r="301" spans="1:13" x14ac:dyDescent="0.3">
      <c r="A301"/>
      <c r="B301"/>
      <c r="C301"/>
      <c r="D301"/>
      <c r="E301"/>
      <c r="F301"/>
      <c r="G301"/>
      <c r="H301"/>
      <c r="I301"/>
      <c r="J301"/>
      <c r="K301"/>
      <c r="M301"/>
    </row>
    <row r="302" spans="1:13" x14ac:dyDescent="0.3">
      <c r="A302"/>
      <c r="B302"/>
      <c r="C302"/>
      <c r="D302"/>
      <c r="E302"/>
      <c r="F302"/>
      <c r="G302"/>
      <c r="H302"/>
      <c r="I302"/>
      <c r="J302"/>
      <c r="K302"/>
      <c r="M302"/>
    </row>
    <row r="303" spans="1:13" x14ac:dyDescent="0.3">
      <c r="A303"/>
      <c r="B303"/>
      <c r="C303"/>
      <c r="D303"/>
      <c r="E303"/>
      <c r="F303"/>
      <c r="G303"/>
      <c r="H303"/>
      <c r="I303"/>
      <c r="J303"/>
      <c r="K303"/>
      <c r="M303"/>
    </row>
    <row r="304" spans="1:13" x14ac:dyDescent="0.3">
      <c r="A304"/>
      <c r="B304"/>
      <c r="C304"/>
      <c r="D304"/>
      <c r="E304"/>
      <c r="F304"/>
      <c r="G304"/>
      <c r="H304"/>
      <c r="I304"/>
      <c r="J304"/>
      <c r="K304"/>
      <c r="M304"/>
    </row>
    <row r="305" spans="1:13" x14ac:dyDescent="0.3">
      <c r="A305"/>
      <c r="B305"/>
      <c r="C305"/>
      <c r="D305"/>
      <c r="E305"/>
      <c r="F305"/>
      <c r="G305"/>
      <c r="H305"/>
      <c r="I305"/>
      <c r="J305"/>
      <c r="K305"/>
      <c r="M305"/>
    </row>
    <row r="306" spans="1:13" x14ac:dyDescent="0.3">
      <c r="A306"/>
      <c r="B306"/>
      <c r="C306"/>
      <c r="D306"/>
      <c r="E306"/>
      <c r="F306"/>
      <c r="G306"/>
      <c r="H306"/>
      <c r="I306"/>
      <c r="J306"/>
      <c r="K306"/>
      <c r="M306"/>
    </row>
    <row r="307" spans="1:13" x14ac:dyDescent="0.3">
      <c r="A307"/>
      <c r="B307"/>
      <c r="C307"/>
      <c r="D307"/>
      <c r="E307"/>
      <c r="F307"/>
      <c r="G307"/>
      <c r="H307"/>
      <c r="I307"/>
      <c r="J307"/>
      <c r="K307"/>
      <c r="M307"/>
    </row>
    <row r="308" spans="1:13" x14ac:dyDescent="0.3">
      <c r="A308"/>
      <c r="B308"/>
      <c r="C308"/>
      <c r="D308"/>
      <c r="E308"/>
      <c r="F308"/>
      <c r="G308"/>
      <c r="H308"/>
      <c r="I308"/>
      <c r="J308"/>
      <c r="K308"/>
      <c r="M308"/>
    </row>
    <row r="309" spans="1:13" x14ac:dyDescent="0.3">
      <c r="A309"/>
      <c r="B309"/>
      <c r="C309"/>
      <c r="D309"/>
      <c r="E309"/>
      <c r="F309"/>
      <c r="G309"/>
      <c r="H309"/>
      <c r="I309"/>
      <c r="J309"/>
      <c r="K309"/>
      <c r="M309"/>
    </row>
    <row r="310" spans="1:13" x14ac:dyDescent="0.3">
      <c r="A310"/>
      <c r="B310"/>
      <c r="C310"/>
      <c r="D310"/>
      <c r="E310"/>
      <c r="F310"/>
      <c r="G310"/>
      <c r="H310"/>
      <c r="I310"/>
      <c r="J310"/>
      <c r="K310"/>
      <c r="M310"/>
    </row>
    <row r="311" spans="1:13" x14ac:dyDescent="0.3">
      <c r="A311"/>
      <c r="B311"/>
      <c r="C311"/>
      <c r="D311"/>
      <c r="E311"/>
      <c r="F311"/>
      <c r="G311"/>
      <c r="H311"/>
      <c r="I311"/>
      <c r="J311"/>
      <c r="K311"/>
      <c r="M311"/>
    </row>
    <row r="312" spans="1:13" x14ac:dyDescent="0.3">
      <c r="A312"/>
      <c r="B312"/>
      <c r="C312"/>
      <c r="D312"/>
      <c r="E312"/>
      <c r="F312"/>
      <c r="G312"/>
      <c r="H312"/>
      <c r="I312"/>
      <c r="J312"/>
      <c r="K312"/>
      <c r="M312"/>
    </row>
    <row r="313" spans="1:13" x14ac:dyDescent="0.3">
      <c r="A313"/>
      <c r="B313"/>
      <c r="C313"/>
      <c r="D313"/>
      <c r="E313"/>
      <c r="F313"/>
      <c r="G313"/>
      <c r="H313"/>
      <c r="I313"/>
      <c r="J313"/>
      <c r="K313"/>
      <c r="M313"/>
    </row>
    <row r="314" spans="1:13" x14ac:dyDescent="0.3">
      <c r="A314"/>
      <c r="B314"/>
      <c r="C314"/>
      <c r="D314"/>
      <c r="E314"/>
      <c r="F314"/>
      <c r="G314"/>
      <c r="H314"/>
      <c r="I314"/>
      <c r="J314"/>
      <c r="K314"/>
      <c r="M314"/>
    </row>
    <row r="315" spans="1:13" x14ac:dyDescent="0.3">
      <c r="A315"/>
      <c r="B315"/>
      <c r="C315"/>
      <c r="D315"/>
      <c r="E315"/>
      <c r="F315"/>
      <c r="G315"/>
      <c r="H315"/>
      <c r="I315"/>
      <c r="J315"/>
      <c r="K315"/>
      <c r="M315"/>
    </row>
    <row r="316" spans="1:13" x14ac:dyDescent="0.3">
      <c r="A316"/>
      <c r="B316"/>
      <c r="C316"/>
      <c r="D316"/>
      <c r="E316"/>
      <c r="F316"/>
      <c r="G316"/>
      <c r="H316"/>
      <c r="I316"/>
      <c r="J316"/>
      <c r="K316"/>
      <c r="M316"/>
    </row>
    <row r="317" spans="1:13" x14ac:dyDescent="0.3">
      <c r="A317"/>
      <c r="B317"/>
      <c r="C317"/>
      <c r="D317"/>
      <c r="E317"/>
      <c r="F317"/>
      <c r="G317"/>
      <c r="H317"/>
      <c r="I317"/>
      <c r="J317"/>
      <c r="K317"/>
      <c r="M317"/>
    </row>
    <row r="318" spans="1:13" x14ac:dyDescent="0.3">
      <c r="A318"/>
      <c r="B318"/>
      <c r="C318"/>
      <c r="D318"/>
      <c r="E318"/>
      <c r="F318"/>
      <c r="G318"/>
      <c r="H318"/>
      <c r="I318"/>
      <c r="J318"/>
      <c r="K318"/>
      <c r="M318"/>
    </row>
    <row r="319" spans="1:13" x14ac:dyDescent="0.3">
      <c r="A319"/>
      <c r="B319"/>
      <c r="C319"/>
      <c r="D319"/>
      <c r="E319"/>
      <c r="F319"/>
      <c r="G319"/>
      <c r="H319"/>
      <c r="I319"/>
      <c r="J319"/>
      <c r="K319"/>
      <c r="M319"/>
    </row>
    <row r="320" spans="1:13" x14ac:dyDescent="0.3">
      <c r="A320"/>
      <c r="B320"/>
      <c r="C320"/>
      <c r="D320"/>
      <c r="E320"/>
      <c r="F320"/>
      <c r="G320"/>
      <c r="H320"/>
      <c r="I320"/>
      <c r="J320"/>
      <c r="K320"/>
      <c r="M320"/>
    </row>
    <row r="321" spans="1:13" x14ac:dyDescent="0.3">
      <c r="A321"/>
      <c r="B321"/>
      <c r="C321"/>
      <c r="D321"/>
      <c r="E321"/>
      <c r="F321"/>
      <c r="G321"/>
      <c r="H321"/>
      <c r="I321"/>
      <c r="J321"/>
      <c r="K321"/>
      <c r="M321"/>
    </row>
    <row r="322" spans="1:13" x14ac:dyDescent="0.3">
      <c r="A322"/>
      <c r="B322"/>
      <c r="C322"/>
      <c r="D322"/>
      <c r="E322"/>
      <c r="F322"/>
      <c r="G322"/>
      <c r="H322"/>
      <c r="I322"/>
      <c r="J322"/>
      <c r="K322"/>
      <c r="M322"/>
    </row>
    <row r="323" spans="1:13" x14ac:dyDescent="0.3">
      <c r="A323"/>
      <c r="B323"/>
      <c r="C323"/>
      <c r="D323"/>
      <c r="E323"/>
      <c r="F323"/>
      <c r="G323"/>
      <c r="H323"/>
      <c r="I323"/>
      <c r="J323"/>
      <c r="K323"/>
      <c r="M323"/>
    </row>
    <row r="324" spans="1:13" x14ac:dyDescent="0.3">
      <c r="A324"/>
      <c r="B324"/>
      <c r="C324"/>
      <c r="D324"/>
      <c r="E324"/>
      <c r="F324"/>
      <c r="G324"/>
      <c r="H324"/>
      <c r="I324"/>
      <c r="J324"/>
      <c r="K324"/>
      <c r="M324"/>
    </row>
    <row r="325" spans="1:13" x14ac:dyDescent="0.3">
      <c r="A325"/>
      <c r="B325"/>
      <c r="C325"/>
      <c r="D325"/>
      <c r="E325"/>
      <c r="F325"/>
      <c r="G325"/>
      <c r="H325"/>
      <c r="I325"/>
      <c r="J325"/>
      <c r="K325"/>
      <c r="M325"/>
    </row>
    <row r="326" spans="1:13" x14ac:dyDescent="0.3">
      <c r="A326"/>
      <c r="B326"/>
      <c r="C326"/>
      <c r="D326"/>
      <c r="E326"/>
      <c r="F326"/>
      <c r="G326"/>
      <c r="H326"/>
      <c r="I326"/>
      <c r="J326"/>
      <c r="K326"/>
      <c r="M326"/>
    </row>
    <row r="327" spans="1:13" x14ac:dyDescent="0.3">
      <c r="A327"/>
      <c r="B327"/>
      <c r="C327"/>
      <c r="D327"/>
      <c r="E327"/>
      <c r="F327"/>
      <c r="G327"/>
      <c r="H327"/>
      <c r="I327"/>
      <c r="J327"/>
      <c r="K327"/>
      <c r="M327"/>
    </row>
    <row r="328" spans="1:13" x14ac:dyDescent="0.3">
      <c r="A328"/>
      <c r="B328"/>
      <c r="C328"/>
      <c r="D328"/>
      <c r="E328"/>
      <c r="F328"/>
      <c r="G328"/>
      <c r="H328"/>
      <c r="I328"/>
      <c r="J328"/>
      <c r="K328"/>
      <c r="M328"/>
    </row>
    <row r="329" spans="1:13" x14ac:dyDescent="0.3">
      <c r="A329"/>
      <c r="B329"/>
      <c r="C329"/>
      <c r="D329"/>
      <c r="E329"/>
      <c r="F329"/>
      <c r="G329"/>
      <c r="H329"/>
      <c r="I329"/>
      <c r="J329"/>
      <c r="K329"/>
      <c r="M329"/>
    </row>
    <row r="330" spans="1:13" x14ac:dyDescent="0.3">
      <c r="A330"/>
      <c r="B330"/>
      <c r="C330"/>
      <c r="D330"/>
      <c r="E330"/>
      <c r="F330"/>
      <c r="G330"/>
      <c r="H330"/>
      <c r="I330"/>
      <c r="J330"/>
      <c r="K330"/>
      <c r="M330"/>
    </row>
    <row r="331" spans="1:13" x14ac:dyDescent="0.3">
      <c r="A331"/>
      <c r="B331"/>
      <c r="C331"/>
      <c r="D331"/>
      <c r="E331"/>
      <c r="F331"/>
      <c r="G331"/>
      <c r="H331"/>
      <c r="I331"/>
      <c r="J331"/>
      <c r="K331"/>
      <c r="M331"/>
    </row>
    <row r="332" spans="1:13" x14ac:dyDescent="0.3">
      <c r="A332"/>
      <c r="B332"/>
      <c r="C332"/>
      <c r="D332"/>
      <c r="E332"/>
      <c r="F332"/>
      <c r="G332"/>
      <c r="H332"/>
      <c r="I332"/>
      <c r="J332"/>
      <c r="K332"/>
      <c r="M332"/>
    </row>
    <row r="333" spans="1:13" x14ac:dyDescent="0.3">
      <c r="A333"/>
      <c r="B333"/>
      <c r="C333"/>
      <c r="D333"/>
      <c r="E333"/>
      <c r="F333"/>
      <c r="G333"/>
      <c r="H333"/>
      <c r="I333"/>
      <c r="J333"/>
      <c r="K333"/>
      <c r="M333"/>
    </row>
    <row r="334" spans="1:13" x14ac:dyDescent="0.3">
      <c r="A334"/>
      <c r="B334"/>
      <c r="C334"/>
      <c r="D334"/>
      <c r="E334"/>
      <c r="F334"/>
      <c r="G334"/>
      <c r="H334"/>
      <c r="I334"/>
      <c r="J334"/>
      <c r="K334"/>
      <c r="M334"/>
    </row>
    <row r="335" spans="1:13" x14ac:dyDescent="0.3">
      <c r="A335"/>
      <c r="B335"/>
      <c r="C335"/>
      <c r="D335"/>
      <c r="E335"/>
      <c r="F335"/>
      <c r="G335"/>
      <c r="H335"/>
      <c r="I335"/>
      <c r="J335"/>
      <c r="K335"/>
      <c r="M335"/>
    </row>
    <row r="336" spans="1:13" x14ac:dyDescent="0.3">
      <c r="A336"/>
      <c r="B336"/>
      <c r="C336"/>
      <c r="D336"/>
      <c r="E336"/>
      <c r="F336"/>
      <c r="G336"/>
      <c r="H336"/>
      <c r="I336"/>
      <c r="J336"/>
      <c r="K336"/>
      <c r="M336"/>
    </row>
    <row r="337" spans="1:13" x14ac:dyDescent="0.3">
      <c r="A337"/>
      <c r="B337"/>
      <c r="C337"/>
      <c r="D337"/>
      <c r="E337"/>
      <c r="F337"/>
      <c r="G337"/>
      <c r="H337"/>
      <c r="I337"/>
      <c r="J337"/>
      <c r="K337"/>
      <c r="M337"/>
    </row>
    <row r="338" spans="1:13" x14ac:dyDescent="0.3">
      <c r="A338"/>
      <c r="B338"/>
      <c r="C338"/>
      <c r="D338"/>
      <c r="E338"/>
      <c r="F338"/>
      <c r="G338"/>
      <c r="H338"/>
      <c r="I338"/>
      <c r="J338"/>
      <c r="K338"/>
      <c r="M338"/>
    </row>
    <row r="339" spans="1:13" x14ac:dyDescent="0.3">
      <c r="A339"/>
      <c r="B339"/>
      <c r="C339"/>
      <c r="D339"/>
      <c r="E339"/>
      <c r="F339"/>
      <c r="G339"/>
      <c r="H339"/>
      <c r="I339"/>
      <c r="J339"/>
      <c r="K339"/>
      <c r="M339"/>
    </row>
    <row r="340" spans="1:13" x14ac:dyDescent="0.3">
      <c r="A340"/>
      <c r="B340"/>
      <c r="C340"/>
      <c r="D340"/>
      <c r="E340"/>
      <c r="F340"/>
      <c r="G340"/>
      <c r="H340"/>
      <c r="I340"/>
      <c r="J340"/>
      <c r="K340"/>
      <c r="M340"/>
    </row>
    <row r="341" spans="1:13" x14ac:dyDescent="0.3">
      <c r="A341"/>
      <c r="B341"/>
      <c r="C341"/>
      <c r="D341"/>
      <c r="E341"/>
      <c r="F341"/>
      <c r="G341"/>
      <c r="H341"/>
      <c r="I341"/>
      <c r="J341"/>
      <c r="K341"/>
      <c r="M341"/>
    </row>
    <row r="342" spans="1:13" x14ac:dyDescent="0.3">
      <c r="A342"/>
      <c r="B342"/>
      <c r="C342"/>
      <c r="D342"/>
      <c r="E342"/>
      <c r="F342"/>
      <c r="G342"/>
      <c r="H342"/>
      <c r="I342"/>
      <c r="J342"/>
      <c r="K342"/>
      <c r="M342"/>
    </row>
    <row r="343" spans="1:13" x14ac:dyDescent="0.3">
      <c r="A343"/>
      <c r="B343"/>
      <c r="C343"/>
      <c r="D343"/>
      <c r="E343"/>
      <c r="F343"/>
      <c r="G343"/>
      <c r="H343"/>
      <c r="I343"/>
      <c r="J343"/>
      <c r="K343"/>
      <c r="M343"/>
    </row>
    <row r="344" spans="1:13" x14ac:dyDescent="0.3">
      <c r="A344"/>
      <c r="B344"/>
      <c r="C344"/>
      <c r="D344"/>
      <c r="E344"/>
      <c r="F344"/>
      <c r="G344"/>
      <c r="H344"/>
      <c r="I344"/>
      <c r="J344"/>
      <c r="K344"/>
      <c r="M344"/>
    </row>
    <row r="345" spans="1:13" x14ac:dyDescent="0.3">
      <c r="A345"/>
      <c r="B345"/>
      <c r="C345"/>
      <c r="D345"/>
      <c r="E345"/>
      <c r="F345"/>
      <c r="G345"/>
      <c r="H345"/>
      <c r="I345"/>
      <c r="J345"/>
      <c r="K345"/>
      <c r="M345"/>
    </row>
    <row r="346" spans="1:13" x14ac:dyDescent="0.3">
      <c r="A346"/>
      <c r="B346"/>
      <c r="C346"/>
      <c r="D346"/>
      <c r="E346"/>
      <c r="F346"/>
      <c r="G346"/>
      <c r="H346"/>
      <c r="I346"/>
      <c r="J346"/>
      <c r="K346"/>
      <c r="M346"/>
    </row>
    <row r="347" spans="1:13" x14ac:dyDescent="0.3">
      <c r="A347"/>
      <c r="B347"/>
      <c r="C347"/>
      <c r="D347"/>
      <c r="E347"/>
      <c r="F347"/>
      <c r="G347"/>
      <c r="H347"/>
      <c r="I347"/>
      <c r="J347"/>
      <c r="K347"/>
      <c r="M347"/>
    </row>
    <row r="348" spans="1:13" x14ac:dyDescent="0.3">
      <c r="A348"/>
      <c r="B348"/>
      <c r="C348"/>
      <c r="D348"/>
      <c r="E348"/>
      <c r="F348"/>
      <c r="G348"/>
      <c r="H348"/>
      <c r="I348"/>
      <c r="J348"/>
      <c r="K348"/>
      <c r="M348"/>
    </row>
    <row r="349" spans="1:13" x14ac:dyDescent="0.3">
      <c r="A349"/>
      <c r="B349"/>
      <c r="C349"/>
      <c r="D349"/>
      <c r="E349"/>
      <c r="F349"/>
      <c r="G349"/>
      <c r="H349"/>
      <c r="I349"/>
      <c r="J349"/>
      <c r="K349"/>
      <c r="M349"/>
    </row>
    <row r="350" spans="1:13" x14ac:dyDescent="0.3">
      <c r="A350"/>
      <c r="B350"/>
      <c r="C350"/>
      <c r="D350"/>
      <c r="E350"/>
      <c r="F350"/>
      <c r="G350"/>
      <c r="H350"/>
      <c r="I350"/>
      <c r="J350"/>
      <c r="K350"/>
      <c r="M350"/>
    </row>
    <row r="351" spans="1:13" x14ac:dyDescent="0.3">
      <c r="A351"/>
      <c r="B351"/>
      <c r="C351"/>
      <c r="D351"/>
      <c r="E351"/>
      <c r="F351"/>
      <c r="G351"/>
      <c r="H351"/>
      <c r="I351"/>
      <c r="J351"/>
      <c r="K351"/>
      <c r="M351"/>
    </row>
    <row r="352" spans="1:13" x14ac:dyDescent="0.3">
      <c r="A352"/>
      <c r="B352"/>
      <c r="C352"/>
      <c r="D352"/>
      <c r="E352"/>
      <c r="F352"/>
      <c r="G352"/>
      <c r="H352"/>
      <c r="I352"/>
      <c r="J352"/>
      <c r="K352"/>
      <c r="M352"/>
    </row>
    <row r="353" spans="1:13" x14ac:dyDescent="0.3">
      <c r="A353"/>
      <c r="B353"/>
      <c r="C353"/>
      <c r="D353"/>
      <c r="E353"/>
      <c r="F353"/>
      <c r="G353"/>
      <c r="H353"/>
      <c r="I353"/>
      <c r="J353"/>
      <c r="K353"/>
      <c r="M353"/>
    </row>
    <row r="354" spans="1:13" x14ac:dyDescent="0.3">
      <c r="A354"/>
      <c r="B354"/>
      <c r="C354"/>
      <c r="D354"/>
      <c r="E354"/>
      <c r="F354"/>
      <c r="G354"/>
      <c r="H354"/>
      <c r="I354"/>
      <c r="J354"/>
      <c r="K354"/>
      <c r="M354"/>
    </row>
    <row r="355" spans="1:13" x14ac:dyDescent="0.3">
      <c r="A355"/>
      <c r="B355"/>
      <c r="C355"/>
      <c r="D355"/>
      <c r="E355"/>
      <c r="F355"/>
      <c r="G355"/>
      <c r="H355"/>
      <c r="I355"/>
      <c r="J355"/>
      <c r="K355"/>
      <c r="M355"/>
    </row>
    <row r="356" spans="1:13" x14ac:dyDescent="0.3">
      <c r="A356"/>
      <c r="B356"/>
      <c r="C356"/>
      <c r="D356"/>
      <c r="E356"/>
      <c r="F356"/>
      <c r="G356"/>
      <c r="H356"/>
      <c r="I356"/>
      <c r="J356"/>
      <c r="K356"/>
      <c r="M356"/>
    </row>
    <row r="357" spans="1:13" x14ac:dyDescent="0.3">
      <c r="A357"/>
      <c r="B357"/>
      <c r="C357"/>
      <c r="D357"/>
      <c r="E357"/>
      <c r="F357"/>
      <c r="G357"/>
      <c r="H357"/>
      <c r="I357"/>
      <c r="J357"/>
      <c r="K357"/>
      <c r="M357"/>
    </row>
    <row r="358" spans="1:13" x14ac:dyDescent="0.3">
      <c r="A358"/>
      <c r="B358"/>
      <c r="C358"/>
      <c r="D358"/>
      <c r="E358"/>
      <c r="F358"/>
      <c r="G358"/>
      <c r="H358"/>
      <c r="I358"/>
      <c r="J358"/>
      <c r="K358"/>
      <c r="M358"/>
    </row>
    <row r="359" spans="1:13" x14ac:dyDescent="0.3">
      <c r="A359"/>
      <c r="B359"/>
      <c r="C359"/>
      <c r="D359"/>
      <c r="E359"/>
      <c r="F359"/>
      <c r="G359"/>
      <c r="H359"/>
      <c r="I359"/>
      <c r="J359"/>
      <c r="K359"/>
      <c r="M359"/>
    </row>
    <row r="360" spans="1:13" x14ac:dyDescent="0.3">
      <c r="A360"/>
      <c r="B360"/>
      <c r="C360"/>
      <c r="D360"/>
      <c r="E360"/>
      <c r="F360"/>
      <c r="G360"/>
      <c r="H360"/>
      <c r="I360"/>
      <c r="J360"/>
      <c r="K360"/>
      <c r="M360"/>
    </row>
    <row r="361" spans="1:13" x14ac:dyDescent="0.3">
      <c r="A361"/>
      <c r="B361"/>
      <c r="C361"/>
      <c r="D361"/>
      <c r="E361"/>
      <c r="F361"/>
      <c r="G361"/>
      <c r="H361"/>
      <c r="I361"/>
      <c r="J361"/>
      <c r="K361"/>
      <c r="M361"/>
    </row>
    <row r="362" spans="1:13" x14ac:dyDescent="0.3">
      <c r="A362"/>
      <c r="B362"/>
      <c r="C362"/>
      <c r="D362"/>
      <c r="E362"/>
      <c r="F362"/>
      <c r="G362"/>
      <c r="H362"/>
      <c r="I362"/>
      <c r="J362"/>
      <c r="K362"/>
      <c r="M362"/>
    </row>
    <row r="363" spans="1:13" x14ac:dyDescent="0.3">
      <c r="A363"/>
      <c r="B363"/>
      <c r="C363"/>
      <c r="D363"/>
      <c r="E363"/>
      <c r="F363"/>
      <c r="G363"/>
      <c r="H363"/>
      <c r="I363"/>
      <c r="J363"/>
      <c r="K363"/>
      <c r="M363"/>
    </row>
    <row r="364" spans="1:13" x14ac:dyDescent="0.3">
      <c r="A364"/>
      <c r="B364"/>
      <c r="C364"/>
      <c r="D364"/>
      <c r="E364"/>
      <c r="F364"/>
      <c r="G364"/>
      <c r="H364"/>
      <c r="I364"/>
      <c r="J364"/>
      <c r="K364"/>
      <c r="M364"/>
    </row>
    <row r="365" spans="1:13" x14ac:dyDescent="0.3">
      <c r="A365"/>
      <c r="B365"/>
      <c r="C365"/>
      <c r="D365"/>
      <c r="E365"/>
      <c r="F365"/>
      <c r="G365"/>
      <c r="H365"/>
      <c r="I365"/>
      <c r="J365"/>
      <c r="K365"/>
      <c r="M365"/>
    </row>
    <row r="366" spans="1:13" x14ac:dyDescent="0.3">
      <c r="A366"/>
      <c r="B366"/>
      <c r="C366"/>
      <c r="D366"/>
      <c r="E366"/>
      <c r="F366"/>
      <c r="G366"/>
      <c r="H366"/>
      <c r="I366"/>
      <c r="J366"/>
      <c r="K366"/>
      <c r="M366"/>
    </row>
    <row r="367" spans="1:13" x14ac:dyDescent="0.3">
      <c r="A367"/>
      <c r="B367"/>
      <c r="C367"/>
      <c r="D367"/>
      <c r="E367"/>
      <c r="F367"/>
      <c r="G367"/>
      <c r="H367"/>
      <c r="I367"/>
      <c r="J367"/>
      <c r="K367"/>
      <c r="M367"/>
    </row>
    <row r="368" spans="1:13" x14ac:dyDescent="0.3">
      <c r="A368"/>
      <c r="B368"/>
      <c r="C368"/>
      <c r="D368"/>
      <c r="E368"/>
      <c r="F368"/>
      <c r="G368"/>
      <c r="H368"/>
      <c r="I368"/>
      <c r="J368"/>
      <c r="K368"/>
      <c r="M368"/>
    </row>
    <row r="369" spans="1:13" x14ac:dyDescent="0.3">
      <c r="A369"/>
      <c r="B369"/>
      <c r="C369"/>
      <c r="D369"/>
      <c r="E369"/>
      <c r="F369"/>
      <c r="G369"/>
      <c r="H369"/>
      <c r="I369"/>
      <c r="J369"/>
      <c r="K369"/>
      <c r="M369"/>
    </row>
    <row r="370" spans="1:13" x14ac:dyDescent="0.3">
      <c r="A370"/>
      <c r="B370"/>
      <c r="C370"/>
      <c r="D370"/>
      <c r="E370"/>
      <c r="F370"/>
      <c r="G370"/>
      <c r="H370"/>
      <c r="I370"/>
      <c r="J370"/>
      <c r="K370"/>
      <c r="M370"/>
    </row>
    <row r="371" spans="1:13" x14ac:dyDescent="0.3">
      <c r="A371"/>
      <c r="B371"/>
      <c r="C371"/>
      <c r="D371"/>
      <c r="E371"/>
      <c r="F371"/>
      <c r="G371"/>
      <c r="H371"/>
      <c r="I371"/>
      <c r="J371"/>
      <c r="K371"/>
      <c r="M371"/>
    </row>
    <row r="372" spans="1:13" x14ac:dyDescent="0.3">
      <c r="A372"/>
      <c r="B372"/>
      <c r="C372"/>
      <c r="D372"/>
      <c r="E372"/>
      <c r="F372"/>
      <c r="G372"/>
      <c r="H372"/>
      <c r="I372"/>
      <c r="J372"/>
      <c r="K372"/>
      <c r="M372"/>
    </row>
    <row r="373" spans="1:13" x14ac:dyDescent="0.3">
      <c r="A373"/>
      <c r="B373"/>
      <c r="C373"/>
      <c r="D373"/>
      <c r="E373"/>
      <c r="F373"/>
      <c r="G373"/>
      <c r="H373"/>
      <c r="I373"/>
      <c r="J373"/>
      <c r="K373"/>
      <c r="M373"/>
    </row>
    <row r="374" spans="1:13" x14ac:dyDescent="0.3">
      <c r="A374"/>
      <c r="B374"/>
      <c r="C374"/>
      <c r="D374"/>
      <c r="E374"/>
      <c r="F374"/>
      <c r="G374"/>
      <c r="H374"/>
      <c r="I374"/>
      <c r="J374"/>
      <c r="K374"/>
      <c r="M374"/>
    </row>
    <row r="375" spans="1:13" x14ac:dyDescent="0.3">
      <c r="A375"/>
      <c r="B375"/>
      <c r="C375"/>
      <c r="D375"/>
      <c r="E375"/>
      <c r="F375"/>
      <c r="G375"/>
      <c r="H375"/>
      <c r="I375"/>
      <c r="J375"/>
      <c r="K375"/>
      <c r="M375"/>
    </row>
    <row r="376" spans="1:13" x14ac:dyDescent="0.3">
      <c r="A376"/>
      <c r="B376"/>
      <c r="C376"/>
      <c r="D376"/>
      <c r="E376"/>
      <c r="F376"/>
      <c r="G376"/>
      <c r="H376"/>
      <c r="I376"/>
      <c r="J376"/>
      <c r="K376"/>
      <c r="M376"/>
    </row>
    <row r="377" spans="1:13" x14ac:dyDescent="0.3">
      <c r="A377"/>
      <c r="B377"/>
      <c r="C377"/>
      <c r="D377"/>
      <c r="E377"/>
      <c r="F377"/>
      <c r="G377"/>
      <c r="H377"/>
      <c r="I377"/>
      <c r="J377"/>
      <c r="K377"/>
      <c r="M377"/>
    </row>
    <row r="378" spans="1:13" x14ac:dyDescent="0.3">
      <c r="A378"/>
      <c r="B378"/>
      <c r="C378"/>
      <c r="D378"/>
      <c r="E378"/>
      <c r="F378"/>
      <c r="G378"/>
      <c r="H378"/>
      <c r="I378"/>
      <c r="J378"/>
      <c r="K378"/>
      <c r="M378"/>
    </row>
    <row r="379" spans="1:13" x14ac:dyDescent="0.3">
      <c r="A379"/>
      <c r="B379"/>
      <c r="C379"/>
      <c r="D379"/>
      <c r="E379"/>
      <c r="F379"/>
      <c r="G379"/>
      <c r="H379"/>
      <c r="I379"/>
      <c r="J379"/>
      <c r="K379"/>
      <c r="M379"/>
    </row>
    <row r="380" spans="1:13" x14ac:dyDescent="0.3">
      <c r="A380"/>
      <c r="B380"/>
      <c r="C380"/>
      <c r="D380"/>
      <c r="E380"/>
      <c r="F380"/>
      <c r="G380"/>
      <c r="H380"/>
      <c r="I380"/>
      <c r="J380"/>
      <c r="K380"/>
      <c r="M380"/>
    </row>
    <row r="381" spans="1:13" x14ac:dyDescent="0.3">
      <c r="A381"/>
      <c r="B381"/>
      <c r="C381"/>
      <c r="D381"/>
      <c r="E381"/>
      <c r="F381"/>
      <c r="G381"/>
      <c r="H381"/>
      <c r="I381"/>
      <c r="J381"/>
      <c r="K381"/>
      <c r="M381"/>
    </row>
    <row r="382" spans="1:13" x14ac:dyDescent="0.3">
      <c r="A382"/>
      <c r="B382"/>
      <c r="C382"/>
      <c r="D382"/>
      <c r="E382"/>
      <c r="F382"/>
      <c r="G382"/>
      <c r="H382"/>
      <c r="I382"/>
      <c r="J382"/>
      <c r="K382"/>
      <c r="M382"/>
    </row>
    <row r="383" spans="1:13" x14ac:dyDescent="0.3">
      <c r="A383"/>
      <c r="B383"/>
      <c r="C383"/>
      <c r="D383"/>
      <c r="E383"/>
      <c r="F383"/>
      <c r="G383"/>
      <c r="H383"/>
      <c r="I383"/>
      <c r="J383"/>
      <c r="K383"/>
      <c r="M383"/>
    </row>
    <row r="384" spans="1:13" x14ac:dyDescent="0.3">
      <c r="A384"/>
      <c r="B384"/>
      <c r="C384"/>
      <c r="D384"/>
      <c r="E384"/>
      <c r="F384"/>
      <c r="G384"/>
      <c r="H384"/>
      <c r="I384"/>
      <c r="J384"/>
      <c r="K384"/>
      <c r="M384"/>
    </row>
    <row r="385" spans="1:13" x14ac:dyDescent="0.3">
      <c r="A385"/>
      <c r="B385"/>
      <c r="C385"/>
      <c r="D385"/>
      <c r="E385"/>
      <c r="F385"/>
      <c r="G385"/>
      <c r="H385"/>
      <c r="I385"/>
      <c r="J385"/>
      <c r="K385"/>
      <c r="M385"/>
    </row>
    <row r="386" spans="1:13" x14ac:dyDescent="0.3">
      <c r="A386"/>
      <c r="B386"/>
      <c r="C386"/>
      <c r="D386"/>
      <c r="E386"/>
      <c r="F386"/>
      <c r="G386"/>
      <c r="H386"/>
      <c r="I386"/>
      <c r="J386"/>
      <c r="K386"/>
      <c r="M386"/>
    </row>
    <row r="387" spans="1:13" x14ac:dyDescent="0.3">
      <c r="A387"/>
      <c r="B387"/>
      <c r="C387"/>
      <c r="D387"/>
      <c r="E387"/>
      <c r="F387"/>
      <c r="G387"/>
      <c r="H387"/>
      <c r="I387"/>
      <c r="J387"/>
      <c r="K387"/>
      <c r="M387"/>
    </row>
    <row r="388" spans="1:13" x14ac:dyDescent="0.3">
      <c r="A388"/>
      <c r="B388"/>
      <c r="C388"/>
      <c r="D388"/>
      <c r="E388"/>
      <c r="F388"/>
      <c r="G388"/>
      <c r="H388"/>
      <c r="I388"/>
      <c r="J388"/>
      <c r="K388"/>
      <c r="M388"/>
    </row>
    <row r="389" spans="1:13" x14ac:dyDescent="0.3">
      <c r="A389"/>
      <c r="B389"/>
      <c r="C389"/>
      <c r="D389"/>
      <c r="E389"/>
      <c r="F389"/>
      <c r="G389"/>
      <c r="H389"/>
      <c r="I389"/>
      <c r="J389"/>
      <c r="K389"/>
      <c r="M389"/>
    </row>
    <row r="390" spans="1:13" x14ac:dyDescent="0.3">
      <c r="A390"/>
      <c r="B390"/>
      <c r="C390"/>
      <c r="D390"/>
      <c r="E390"/>
      <c r="F390"/>
      <c r="G390"/>
      <c r="H390"/>
      <c r="I390"/>
      <c r="J390"/>
      <c r="K390"/>
      <c r="M390"/>
    </row>
    <row r="391" spans="1:13" x14ac:dyDescent="0.3">
      <c r="A391"/>
      <c r="B391"/>
      <c r="C391"/>
      <c r="D391"/>
      <c r="E391"/>
      <c r="F391"/>
      <c r="G391"/>
      <c r="H391"/>
      <c r="I391"/>
      <c r="J391"/>
      <c r="K391"/>
      <c r="M391"/>
    </row>
    <row r="392" spans="1:13" x14ac:dyDescent="0.3">
      <c r="A392"/>
      <c r="B392"/>
      <c r="C392"/>
      <c r="D392"/>
      <c r="E392"/>
      <c r="F392"/>
      <c r="G392"/>
      <c r="H392"/>
      <c r="I392"/>
      <c r="J392"/>
      <c r="K392"/>
      <c r="M392"/>
    </row>
    <row r="393" spans="1:13" x14ac:dyDescent="0.3">
      <c r="A393"/>
      <c r="B393"/>
      <c r="C393"/>
      <c r="D393"/>
      <c r="E393"/>
      <c r="F393"/>
      <c r="G393"/>
      <c r="H393"/>
      <c r="I393"/>
      <c r="J393"/>
      <c r="K393"/>
      <c r="M393"/>
    </row>
    <row r="394" spans="1:13" x14ac:dyDescent="0.3">
      <c r="A394"/>
      <c r="B394"/>
      <c r="C394"/>
      <c r="D394"/>
      <c r="E394"/>
      <c r="F394"/>
      <c r="G394"/>
      <c r="H394"/>
      <c r="I394"/>
      <c r="J394"/>
      <c r="K394"/>
      <c r="M394"/>
    </row>
    <row r="395" spans="1:13" x14ac:dyDescent="0.3">
      <c r="A395"/>
      <c r="B395"/>
      <c r="C395"/>
      <c r="D395"/>
      <c r="E395"/>
      <c r="F395"/>
      <c r="G395"/>
      <c r="H395"/>
      <c r="I395"/>
      <c r="J395"/>
      <c r="K395"/>
      <c r="M395"/>
    </row>
    <row r="396" spans="1:13" x14ac:dyDescent="0.3">
      <c r="A396"/>
      <c r="B396"/>
      <c r="C396"/>
      <c r="D396"/>
      <c r="E396"/>
      <c r="F396"/>
      <c r="G396"/>
      <c r="H396"/>
      <c r="I396"/>
      <c r="J396"/>
      <c r="K396"/>
      <c r="M396"/>
    </row>
    <row r="397" spans="1:13" x14ac:dyDescent="0.3">
      <c r="A397"/>
      <c r="B397"/>
      <c r="C397"/>
      <c r="D397"/>
      <c r="E397"/>
      <c r="F397"/>
      <c r="G397"/>
      <c r="H397"/>
      <c r="I397"/>
      <c r="J397"/>
      <c r="K397"/>
      <c r="M397"/>
    </row>
    <row r="398" spans="1:13" x14ac:dyDescent="0.3">
      <c r="A398"/>
      <c r="B398"/>
      <c r="C398"/>
      <c r="D398"/>
      <c r="E398"/>
      <c r="F398"/>
      <c r="G398"/>
      <c r="H398"/>
      <c r="I398"/>
      <c r="J398"/>
      <c r="K398"/>
      <c r="M398"/>
    </row>
    <row r="399" spans="1:13" x14ac:dyDescent="0.3">
      <c r="A399"/>
      <c r="B399"/>
      <c r="C399"/>
      <c r="D399"/>
      <c r="E399"/>
      <c r="F399"/>
      <c r="G399"/>
      <c r="H399"/>
      <c r="I399"/>
      <c r="J399"/>
      <c r="K399"/>
      <c r="M399"/>
    </row>
    <row r="400" spans="1:13" x14ac:dyDescent="0.3">
      <c r="A400"/>
      <c r="B400"/>
      <c r="C400"/>
      <c r="D400"/>
      <c r="E400"/>
      <c r="F400"/>
      <c r="G400"/>
      <c r="H400"/>
      <c r="I400"/>
      <c r="J400"/>
      <c r="K400"/>
      <c r="M400"/>
    </row>
    <row r="401" spans="1:13" x14ac:dyDescent="0.3">
      <c r="A401"/>
      <c r="B401"/>
      <c r="C401"/>
      <c r="D401"/>
      <c r="E401"/>
      <c r="F401"/>
      <c r="G401"/>
      <c r="H401"/>
      <c r="I401"/>
      <c r="J401"/>
      <c r="K401"/>
      <c r="M401"/>
    </row>
    <row r="402" spans="1:13" x14ac:dyDescent="0.3">
      <c r="A402"/>
      <c r="B402"/>
      <c r="C402"/>
      <c r="D402"/>
      <c r="E402"/>
      <c r="F402"/>
      <c r="G402"/>
      <c r="H402"/>
      <c r="I402"/>
      <c r="J402"/>
      <c r="K402"/>
      <c r="M402"/>
    </row>
    <row r="403" spans="1:13" x14ac:dyDescent="0.3">
      <c r="A403"/>
      <c r="B403"/>
      <c r="C403"/>
      <c r="D403"/>
      <c r="E403"/>
      <c r="F403"/>
      <c r="G403"/>
      <c r="H403"/>
      <c r="I403"/>
      <c r="J403"/>
      <c r="K403"/>
      <c r="M403"/>
    </row>
    <row r="404" spans="1:13" x14ac:dyDescent="0.3">
      <c r="A404"/>
      <c r="B404"/>
      <c r="C404"/>
      <c r="D404"/>
      <c r="E404"/>
      <c r="F404"/>
      <c r="G404"/>
      <c r="H404"/>
      <c r="I404"/>
      <c r="J404"/>
      <c r="K404"/>
      <c r="M404"/>
    </row>
    <row r="405" spans="1:13" x14ac:dyDescent="0.3">
      <c r="A405"/>
      <c r="B405"/>
      <c r="C405"/>
      <c r="D405"/>
      <c r="E405"/>
      <c r="F405"/>
      <c r="G405"/>
      <c r="H405"/>
      <c r="I405"/>
      <c r="J405"/>
      <c r="K405"/>
      <c r="M405"/>
    </row>
    <row r="406" spans="1:13" x14ac:dyDescent="0.3">
      <c r="A406"/>
      <c r="B406"/>
      <c r="C406"/>
      <c r="D406"/>
      <c r="E406"/>
      <c r="F406"/>
      <c r="G406"/>
      <c r="H406"/>
      <c r="I406"/>
      <c r="J406"/>
      <c r="K406"/>
      <c r="M406"/>
    </row>
    <row r="407" spans="1:13" x14ac:dyDescent="0.3">
      <c r="A407"/>
      <c r="B407"/>
      <c r="C407"/>
      <c r="D407"/>
      <c r="E407"/>
      <c r="F407"/>
      <c r="G407"/>
      <c r="H407"/>
      <c r="I407"/>
      <c r="J407"/>
      <c r="K407"/>
      <c r="M407"/>
    </row>
    <row r="408" spans="1:13" x14ac:dyDescent="0.3">
      <c r="A408"/>
      <c r="B408"/>
      <c r="C408"/>
      <c r="D408"/>
      <c r="E408"/>
      <c r="F408"/>
      <c r="G408"/>
      <c r="H408"/>
      <c r="I408"/>
      <c r="J408"/>
      <c r="K408"/>
      <c r="M408"/>
    </row>
    <row r="409" spans="1:13" x14ac:dyDescent="0.3">
      <c r="A409"/>
      <c r="B409"/>
      <c r="C409"/>
      <c r="D409"/>
      <c r="E409"/>
      <c r="F409"/>
      <c r="G409"/>
      <c r="H409"/>
      <c r="I409"/>
      <c r="J409"/>
      <c r="K409"/>
      <c r="M409"/>
    </row>
    <row r="410" spans="1:13" x14ac:dyDescent="0.3">
      <c r="A410"/>
      <c r="B410"/>
      <c r="C410"/>
      <c r="D410"/>
      <c r="E410"/>
      <c r="F410"/>
      <c r="G410"/>
      <c r="H410"/>
      <c r="I410"/>
      <c r="J410"/>
      <c r="K410"/>
      <c r="M410"/>
    </row>
    <row r="411" spans="1:13" x14ac:dyDescent="0.3">
      <c r="A411"/>
      <c r="B411"/>
      <c r="C411"/>
      <c r="D411"/>
      <c r="E411"/>
      <c r="F411"/>
      <c r="G411"/>
      <c r="H411"/>
      <c r="I411"/>
      <c r="J411"/>
      <c r="K411"/>
      <c r="M411"/>
    </row>
    <row r="412" spans="1:13" x14ac:dyDescent="0.3">
      <c r="A412"/>
      <c r="B412"/>
      <c r="C412"/>
      <c r="D412"/>
      <c r="E412"/>
      <c r="F412"/>
      <c r="G412"/>
      <c r="H412"/>
      <c r="I412"/>
      <c r="J412"/>
      <c r="K412"/>
      <c r="M412"/>
    </row>
    <row r="413" spans="1:13" x14ac:dyDescent="0.3">
      <c r="A413"/>
      <c r="B413"/>
      <c r="C413"/>
      <c r="D413"/>
      <c r="E413"/>
      <c r="F413"/>
      <c r="G413"/>
      <c r="H413"/>
      <c r="I413"/>
      <c r="J413"/>
      <c r="K413"/>
      <c r="M413"/>
    </row>
    <row r="414" spans="1:13" x14ac:dyDescent="0.3">
      <c r="A414"/>
      <c r="B414"/>
      <c r="C414"/>
      <c r="D414"/>
      <c r="E414"/>
      <c r="F414"/>
      <c r="G414"/>
      <c r="H414"/>
      <c r="I414"/>
      <c r="J414"/>
      <c r="K414"/>
      <c r="M414"/>
    </row>
    <row r="415" spans="1:13" x14ac:dyDescent="0.3">
      <c r="A415"/>
      <c r="B415"/>
      <c r="C415"/>
      <c r="D415"/>
      <c r="E415"/>
      <c r="F415"/>
      <c r="G415"/>
      <c r="H415"/>
      <c r="I415"/>
      <c r="J415"/>
      <c r="K415"/>
      <c r="M415"/>
    </row>
    <row r="416" spans="1:13" x14ac:dyDescent="0.3">
      <c r="A416"/>
      <c r="B416"/>
      <c r="C416"/>
      <c r="D416"/>
      <c r="E416"/>
      <c r="F416"/>
      <c r="G416"/>
      <c r="H416"/>
      <c r="I416"/>
      <c r="J416"/>
      <c r="K416"/>
      <c r="M416"/>
    </row>
    <row r="417" spans="1:13" x14ac:dyDescent="0.3">
      <c r="A417"/>
      <c r="B417"/>
      <c r="C417"/>
      <c r="D417"/>
      <c r="E417"/>
      <c r="F417"/>
      <c r="G417"/>
      <c r="H417"/>
      <c r="I417"/>
      <c r="J417"/>
      <c r="K417"/>
      <c r="M417"/>
    </row>
    <row r="418" spans="1:13" x14ac:dyDescent="0.3">
      <c r="A418"/>
      <c r="B418"/>
      <c r="C418"/>
      <c r="D418"/>
      <c r="E418"/>
      <c r="F418"/>
      <c r="G418"/>
      <c r="H418"/>
      <c r="I418"/>
      <c r="J418"/>
      <c r="K418"/>
      <c r="M418"/>
    </row>
    <row r="419" spans="1:13" x14ac:dyDescent="0.3">
      <c r="A419"/>
      <c r="B419"/>
      <c r="C419"/>
      <c r="D419"/>
      <c r="E419"/>
      <c r="F419"/>
      <c r="G419"/>
      <c r="H419"/>
      <c r="I419"/>
      <c r="J419"/>
      <c r="K419"/>
      <c r="M419"/>
    </row>
    <row r="420" spans="1:13" x14ac:dyDescent="0.3">
      <c r="A420"/>
      <c r="B420"/>
      <c r="C420"/>
      <c r="D420"/>
      <c r="E420"/>
      <c r="F420"/>
      <c r="G420"/>
      <c r="H420"/>
      <c r="I420"/>
      <c r="J420"/>
      <c r="K420"/>
      <c r="M420"/>
    </row>
    <row r="421" spans="1:13" x14ac:dyDescent="0.3">
      <c r="A421"/>
      <c r="B421"/>
      <c r="C421"/>
      <c r="D421"/>
      <c r="E421"/>
      <c r="F421"/>
      <c r="G421"/>
      <c r="H421"/>
      <c r="I421"/>
      <c r="J421"/>
      <c r="K421"/>
      <c r="M421"/>
    </row>
    <row r="422" spans="1:13" x14ac:dyDescent="0.3">
      <c r="A422"/>
      <c r="B422"/>
      <c r="C422"/>
      <c r="D422"/>
      <c r="E422"/>
      <c r="F422"/>
      <c r="G422"/>
      <c r="H422"/>
      <c r="I422"/>
      <c r="J422"/>
      <c r="K422"/>
      <c r="M422"/>
    </row>
    <row r="423" spans="1:13" x14ac:dyDescent="0.3">
      <c r="A423"/>
      <c r="B423"/>
      <c r="C423"/>
      <c r="D423"/>
      <c r="E423"/>
      <c r="F423"/>
      <c r="G423"/>
      <c r="H423"/>
      <c r="I423"/>
      <c r="J423"/>
      <c r="K423"/>
      <c r="M423"/>
    </row>
    <row r="424" spans="1:13" x14ac:dyDescent="0.3">
      <c r="A424"/>
      <c r="B424"/>
      <c r="C424"/>
      <c r="D424"/>
      <c r="E424"/>
      <c r="F424"/>
      <c r="G424"/>
      <c r="H424"/>
      <c r="I424"/>
      <c r="J424"/>
      <c r="K424"/>
      <c r="M424"/>
    </row>
    <row r="425" spans="1:13" x14ac:dyDescent="0.3">
      <c r="A425"/>
      <c r="B425"/>
      <c r="C425"/>
      <c r="D425"/>
      <c r="E425"/>
      <c r="F425"/>
      <c r="G425"/>
      <c r="H425"/>
      <c r="I425"/>
      <c r="J425"/>
      <c r="K425"/>
      <c r="M425"/>
    </row>
    <row r="426" spans="1:13" x14ac:dyDescent="0.3">
      <c r="A426"/>
      <c r="B426"/>
      <c r="C426"/>
      <c r="D426"/>
      <c r="E426"/>
      <c r="F426"/>
      <c r="G426"/>
      <c r="H426"/>
      <c r="I426"/>
      <c r="J426"/>
      <c r="K426"/>
      <c r="M426"/>
    </row>
    <row r="427" spans="1:13" x14ac:dyDescent="0.3">
      <c r="A427"/>
      <c r="B427"/>
      <c r="C427"/>
      <c r="D427"/>
      <c r="E427"/>
      <c r="F427"/>
      <c r="G427"/>
      <c r="H427"/>
      <c r="I427"/>
      <c r="J427"/>
      <c r="K427"/>
      <c r="M427"/>
    </row>
    <row r="428" spans="1:13" x14ac:dyDescent="0.3">
      <c r="A428"/>
      <c r="B428"/>
      <c r="C428"/>
      <c r="D428"/>
      <c r="E428"/>
      <c r="F428"/>
      <c r="G428"/>
      <c r="H428"/>
      <c r="I428"/>
      <c r="J428"/>
      <c r="K428"/>
      <c r="M428"/>
    </row>
    <row r="429" spans="1:13" x14ac:dyDescent="0.3">
      <c r="A429"/>
      <c r="B429"/>
      <c r="C429"/>
      <c r="D429"/>
      <c r="E429"/>
      <c r="F429"/>
      <c r="G429"/>
      <c r="H429"/>
      <c r="I429"/>
      <c r="J429"/>
      <c r="K429"/>
      <c r="M429"/>
    </row>
    <row r="430" spans="1:13" x14ac:dyDescent="0.3">
      <c r="A430"/>
      <c r="B430"/>
      <c r="C430"/>
      <c r="D430"/>
      <c r="E430"/>
      <c r="F430"/>
      <c r="G430"/>
      <c r="H430"/>
      <c r="I430"/>
      <c r="J430"/>
      <c r="K430"/>
      <c r="M430"/>
    </row>
  </sheetData>
  <autoFilter ref="A1:N195" xr:uid="{A9355BB7-15B6-4B78-A11E-753B1CD4BC61}"/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6014-1E2E-4A31-A577-0F0EF8933654}">
  <dimension ref="A1:H23"/>
  <sheetViews>
    <sheetView workbookViewId="0">
      <selection activeCell="B23" sqref="B23"/>
    </sheetView>
  </sheetViews>
  <sheetFormatPr defaultRowHeight="14.4" x14ac:dyDescent="0.3"/>
  <cols>
    <col min="1" max="1" width="25.6640625" customWidth="1"/>
    <col min="2" max="2" width="56.44140625" customWidth="1"/>
    <col min="3" max="3" width="24" customWidth="1"/>
    <col min="4" max="4" width="23.88671875" customWidth="1"/>
    <col min="5" max="5" width="14.21875" customWidth="1"/>
    <col min="6" max="7" width="23.44140625" customWidth="1"/>
    <col min="8" max="8" width="95.77734375" customWidth="1"/>
  </cols>
  <sheetData>
    <row r="1" spans="1:8" x14ac:dyDescent="0.3">
      <c r="A1" s="33" t="s">
        <v>434</v>
      </c>
      <c r="B1" s="33" t="s">
        <v>440</v>
      </c>
      <c r="C1" s="33" t="s">
        <v>437</v>
      </c>
      <c r="D1" s="33" t="s">
        <v>446</v>
      </c>
      <c r="E1" s="33" t="s">
        <v>411</v>
      </c>
      <c r="F1" s="33" t="s">
        <v>447</v>
      </c>
      <c r="G1" s="33" t="s">
        <v>449</v>
      </c>
      <c r="H1" s="33" t="s">
        <v>432</v>
      </c>
    </row>
    <row r="2" spans="1:8" s="27" customFormat="1" x14ac:dyDescent="0.3">
      <c r="A2" s="98" t="s">
        <v>435</v>
      </c>
      <c r="B2" s="27" t="s">
        <v>436</v>
      </c>
      <c r="C2" s="27" t="s">
        <v>438</v>
      </c>
      <c r="D2" s="27" t="s">
        <v>426</v>
      </c>
      <c r="E2" s="27" t="s">
        <v>429</v>
      </c>
      <c r="F2" s="27" t="s">
        <v>448</v>
      </c>
      <c r="G2" s="27" t="s">
        <v>450</v>
      </c>
      <c r="H2" s="35" t="s">
        <v>455</v>
      </c>
    </row>
    <row r="3" spans="1:8" s="27" customFormat="1" x14ac:dyDescent="0.3">
      <c r="A3" s="98"/>
      <c r="B3" s="27" t="s">
        <v>441</v>
      </c>
      <c r="C3" s="27" t="s">
        <v>442</v>
      </c>
      <c r="D3" s="27" t="s">
        <v>426</v>
      </c>
      <c r="E3" s="27" t="s">
        <v>429</v>
      </c>
      <c r="F3" s="27" t="s">
        <v>448</v>
      </c>
      <c r="G3" s="27" t="s">
        <v>451</v>
      </c>
      <c r="H3" s="35" t="s">
        <v>452</v>
      </c>
    </row>
    <row r="4" spans="1:8" s="27" customFormat="1" x14ac:dyDescent="0.3">
      <c r="A4" s="98"/>
      <c r="B4" s="27" t="s">
        <v>439</v>
      </c>
      <c r="C4" s="27" t="s">
        <v>443</v>
      </c>
      <c r="D4" s="27" t="s">
        <v>426</v>
      </c>
      <c r="E4" s="27" t="s">
        <v>429</v>
      </c>
      <c r="F4" s="27" t="s">
        <v>448</v>
      </c>
      <c r="G4" s="27" t="s">
        <v>451</v>
      </c>
      <c r="H4" s="35" t="s">
        <v>445</v>
      </c>
    </row>
    <row r="5" spans="1:8" x14ac:dyDescent="0.3">
      <c r="A5" s="33" t="s">
        <v>433</v>
      </c>
      <c r="B5" s="33" t="s">
        <v>409</v>
      </c>
      <c r="C5" s="33" t="s">
        <v>410</v>
      </c>
      <c r="D5" s="33" t="s">
        <v>412</v>
      </c>
      <c r="E5" s="33" t="s">
        <v>411</v>
      </c>
      <c r="F5" s="33"/>
      <c r="G5" s="33"/>
      <c r="H5" s="33" t="s">
        <v>432</v>
      </c>
    </row>
    <row r="6" spans="1:8" x14ac:dyDescent="0.3">
      <c r="A6" s="97" t="s">
        <v>425</v>
      </c>
      <c r="B6" t="s">
        <v>416</v>
      </c>
      <c r="C6" t="s">
        <v>422</v>
      </c>
      <c r="D6" t="s">
        <v>426</v>
      </c>
      <c r="E6" t="s">
        <v>429</v>
      </c>
      <c r="F6" t="s">
        <v>448</v>
      </c>
      <c r="G6" t="s">
        <v>450</v>
      </c>
      <c r="H6" t="s">
        <v>456</v>
      </c>
    </row>
    <row r="7" spans="1:8" s="27" customFormat="1" x14ac:dyDescent="0.3">
      <c r="A7" s="97"/>
      <c r="B7" s="27" t="s">
        <v>415</v>
      </c>
      <c r="C7" s="27" t="s">
        <v>422</v>
      </c>
      <c r="D7" s="27" t="s">
        <v>426</v>
      </c>
      <c r="E7" s="27" t="s">
        <v>430</v>
      </c>
      <c r="F7" s="27" t="s">
        <v>448</v>
      </c>
      <c r="G7" s="27" t="s">
        <v>450</v>
      </c>
      <c r="H7" s="27" t="s">
        <v>456</v>
      </c>
    </row>
    <row r="8" spans="1:8" s="27" customFormat="1" x14ac:dyDescent="0.3">
      <c r="A8" s="97"/>
      <c r="B8" s="27" t="s">
        <v>413</v>
      </c>
      <c r="C8" s="27" t="s">
        <v>422</v>
      </c>
      <c r="D8" s="27" t="s">
        <v>426</v>
      </c>
      <c r="E8" s="27" t="s">
        <v>430</v>
      </c>
      <c r="F8" s="27" t="s">
        <v>448</v>
      </c>
      <c r="G8" s="27" t="s">
        <v>450</v>
      </c>
      <c r="H8" s="27" t="s">
        <v>456</v>
      </c>
    </row>
    <row r="9" spans="1:8" s="27" customFormat="1" x14ac:dyDescent="0.3">
      <c r="A9" s="97"/>
      <c r="B9" s="27" t="s">
        <v>414</v>
      </c>
      <c r="C9" s="27" t="s">
        <v>422</v>
      </c>
      <c r="D9" s="27" t="s">
        <v>426</v>
      </c>
      <c r="E9" s="27" t="s">
        <v>430</v>
      </c>
      <c r="F9" s="27" t="s">
        <v>448</v>
      </c>
      <c r="G9" s="27" t="s">
        <v>450</v>
      </c>
      <c r="H9" s="27" t="s">
        <v>456</v>
      </c>
    </row>
    <row r="10" spans="1:8" x14ac:dyDescent="0.3">
      <c r="A10" s="97"/>
      <c r="B10" t="s">
        <v>417</v>
      </c>
      <c r="C10" t="s">
        <v>422</v>
      </c>
      <c r="D10" t="s">
        <v>427</v>
      </c>
      <c r="E10" t="s">
        <v>430</v>
      </c>
      <c r="F10" t="s">
        <v>448</v>
      </c>
      <c r="G10" t="s">
        <v>450</v>
      </c>
      <c r="H10" t="s">
        <v>456</v>
      </c>
    </row>
    <row r="11" spans="1:8" x14ac:dyDescent="0.3">
      <c r="A11" s="97"/>
      <c r="B11" t="s">
        <v>418</v>
      </c>
      <c r="C11" t="s">
        <v>422</v>
      </c>
      <c r="D11" t="s">
        <v>426</v>
      </c>
      <c r="E11" t="s">
        <v>430</v>
      </c>
      <c r="F11" t="s">
        <v>448</v>
      </c>
      <c r="G11" t="s">
        <v>450</v>
      </c>
      <c r="H11" s="34" t="s">
        <v>454</v>
      </c>
    </row>
    <row r="12" spans="1:8" x14ac:dyDescent="0.3">
      <c r="A12" s="32" t="s">
        <v>423</v>
      </c>
      <c r="B12" t="s">
        <v>419</v>
      </c>
      <c r="C12" t="s">
        <v>431</v>
      </c>
      <c r="D12" t="s">
        <v>427</v>
      </c>
      <c r="E12" t="s">
        <v>429</v>
      </c>
      <c r="F12" t="s">
        <v>448</v>
      </c>
      <c r="G12" t="s">
        <v>451</v>
      </c>
      <c r="H12" s="34" t="s">
        <v>486</v>
      </c>
    </row>
    <row r="13" spans="1:8" x14ac:dyDescent="0.3">
      <c r="A13" s="97" t="s">
        <v>424</v>
      </c>
      <c r="B13" t="s">
        <v>428</v>
      </c>
      <c r="C13" t="s">
        <v>422</v>
      </c>
      <c r="D13" t="s">
        <v>427</v>
      </c>
      <c r="E13" t="s">
        <v>430</v>
      </c>
      <c r="F13" t="s">
        <v>448</v>
      </c>
      <c r="G13" t="s">
        <v>451</v>
      </c>
      <c r="H13" t="s">
        <v>444</v>
      </c>
    </row>
    <row r="14" spans="1:8" x14ac:dyDescent="0.3">
      <c r="A14" s="97"/>
      <c r="B14" t="s">
        <v>420</v>
      </c>
      <c r="C14" t="s">
        <v>422</v>
      </c>
      <c r="D14" t="s">
        <v>426</v>
      </c>
      <c r="E14" t="s">
        <v>430</v>
      </c>
      <c r="F14" t="s">
        <v>448</v>
      </c>
      <c r="G14" t="s">
        <v>451</v>
      </c>
      <c r="H14" t="s">
        <v>444</v>
      </c>
    </row>
    <row r="15" spans="1:8" x14ac:dyDescent="0.3">
      <c r="A15" s="97"/>
      <c r="B15" t="s">
        <v>421</v>
      </c>
      <c r="C15" t="s">
        <v>422</v>
      </c>
      <c r="D15" t="s">
        <v>426</v>
      </c>
      <c r="E15" t="s">
        <v>430</v>
      </c>
      <c r="F15" t="s">
        <v>448</v>
      </c>
      <c r="G15" t="s">
        <v>451</v>
      </c>
      <c r="H15" t="s">
        <v>444</v>
      </c>
    </row>
    <row r="23" spans="8:8" x14ac:dyDescent="0.3">
      <c r="H23" t="s">
        <v>453</v>
      </c>
    </row>
  </sheetData>
  <mergeCells count="3">
    <mergeCell ref="A13:A15"/>
    <mergeCell ref="A6:A11"/>
    <mergeCell ref="A2:A4"/>
  </mergeCells>
  <hyperlinks>
    <hyperlink ref="H4" r:id="rId1" xr:uid="{97076098-3043-4F15-A8EA-26C82AFD63FB}"/>
    <hyperlink ref="H3" r:id="rId2" xr:uid="{D887009D-4EBA-4AAE-BFDC-D97ED2D33D4A}"/>
    <hyperlink ref="H11" r:id="rId3" xr:uid="{E90EB2F2-6271-42C5-BE31-7FD258CD1309}"/>
    <hyperlink ref="H2" r:id="rId4" xr:uid="{62562AFC-9B2E-4C17-9EF8-853892DF09FD}"/>
    <hyperlink ref="H12" r:id="rId5" display="https://info.igme.es/cartografiadigital/geologica/Geologicos1MMapa.aspx?Id=Geologico1000_(1994)&amp;language=es" xr:uid="{6CC64B6A-0017-430C-A6A4-D8BFA281AD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2785-E21F-4CF4-800B-264BC73419CD}">
  <dimension ref="A3:C11"/>
  <sheetViews>
    <sheetView workbookViewId="0">
      <selection activeCell="R20" sqref="R20"/>
    </sheetView>
  </sheetViews>
  <sheetFormatPr defaultRowHeight="14.4" x14ac:dyDescent="0.3"/>
  <cols>
    <col min="1" max="1" width="12.77734375" bestFit="1" customWidth="1"/>
    <col min="2" max="2" width="10.5546875" bestFit="1" customWidth="1"/>
    <col min="3" max="3" width="16.88671875" bestFit="1" customWidth="1"/>
  </cols>
  <sheetData>
    <row r="3" spans="1:3" x14ac:dyDescent="0.3">
      <c r="A3" s="23" t="s">
        <v>380</v>
      </c>
      <c r="B3" s="23" t="s">
        <v>381</v>
      </c>
      <c r="C3" t="s">
        <v>371</v>
      </c>
    </row>
    <row r="4" spans="1:3" x14ac:dyDescent="0.3">
      <c r="A4" t="s">
        <v>376</v>
      </c>
      <c r="B4" t="s">
        <v>379</v>
      </c>
      <c r="C4">
        <v>8</v>
      </c>
    </row>
    <row r="5" spans="1:3" x14ac:dyDescent="0.3">
      <c r="A5" t="s">
        <v>376</v>
      </c>
      <c r="B5" t="s">
        <v>382</v>
      </c>
      <c r="C5">
        <v>7</v>
      </c>
    </row>
    <row r="6" spans="1:3" x14ac:dyDescent="0.3">
      <c r="A6" t="s">
        <v>383</v>
      </c>
      <c r="B6" t="s">
        <v>379</v>
      </c>
      <c r="C6">
        <v>18</v>
      </c>
    </row>
    <row r="7" spans="1:3" x14ac:dyDescent="0.3">
      <c r="A7" t="s">
        <v>383</v>
      </c>
      <c r="B7" t="s">
        <v>382</v>
      </c>
      <c r="C7">
        <v>21</v>
      </c>
    </row>
    <row r="8" spans="1:3" x14ac:dyDescent="0.3">
      <c r="A8" t="s">
        <v>378</v>
      </c>
      <c r="B8" t="s">
        <v>379</v>
      </c>
      <c r="C8">
        <v>37</v>
      </c>
    </row>
    <row r="9" spans="1:3" x14ac:dyDescent="0.3">
      <c r="A9" t="s">
        <v>378</v>
      </c>
      <c r="B9" t="s">
        <v>382</v>
      </c>
      <c r="C9">
        <v>31</v>
      </c>
    </row>
    <row r="10" spans="1:3" x14ac:dyDescent="0.3">
      <c r="A10" t="s">
        <v>377</v>
      </c>
      <c r="B10" t="s">
        <v>379</v>
      </c>
      <c r="C10">
        <v>31</v>
      </c>
    </row>
    <row r="11" spans="1:3" x14ac:dyDescent="0.3">
      <c r="A11" t="s">
        <v>377</v>
      </c>
      <c r="B11" t="s">
        <v>382</v>
      </c>
      <c r="C11">
        <v>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A431-179D-4448-A135-D2EA1CB875CC}">
  <dimension ref="A1:B5"/>
  <sheetViews>
    <sheetView workbookViewId="0">
      <selection activeCell="J23" sqref="J23"/>
    </sheetView>
  </sheetViews>
  <sheetFormatPr defaultRowHeight="14.4" x14ac:dyDescent="0.3"/>
  <cols>
    <col min="1" max="1" width="12.77734375" bestFit="1" customWidth="1"/>
    <col min="2" max="2" width="16.88671875" bestFit="1" customWidth="1"/>
  </cols>
  <sheetData>
    <row r="1" spans="1:2" x14ac:dyDescent="0.3">
      <c r="A1" s="23" t="s">
        <v>375</v>
      </c>
      <c r="B1" t="s">
        <v>371</v>
      </c>
    </row>
    <row r="2" spans="1:2" x14ac:dyDescent="0.3">
      <c r="A2" t="s">
        <v>35</v>
      </c>
      <c r="B2">
        <v>15</v>
      </c>
    </row>
    <row r="3" spans="1:2" x14ac:dyDescent="0.3">
      <c r="A3" t="s">
        <v>24</v>
      </c>
      <c r="B3">
        <v>39</v>
      </c>
    </row>
    <row r="4" spans="1:2" x14ac:dyDescent="0.3">
      <c r="A4" t="s">
        <v>6</v>
      </c>
      <c r="B4">
        <v>68</v>
      </c>
    </row>
    <row r="5" spans="1:2" x14ac:dyDescent="0.3">
      <c r="A5" t="s">
        <v>19</v>
      </c>
      <c r="B5">
        <v>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C4EE-6711-4B9F-BFC0-7B4132A531EE}">
  <dimension ref="A1:B4"/>
  <sheetViews>
    <sheetView workbookViewId="0">
      <selection activeCell="E8" sqref="E8"/>
    </sheetView>
  </sheetViews>
  <sheetFormatPr defaultRowHeight="14.4" x14ac:dyDescent="0.3"/>
  <cols>
    <col min="1" max="1" width="10.6640625" customWidth="1"/>
    <col min="2" max="2" width="16.88671875" bestFit="1" customWidth="1"/>
  </cols>
  <sheetData>
    <row r="1" spans="1:2" x14ac:dyDescent="0.3">
      <c r="A1" s="23" t="s">
        <v>1</v>
      </c>
      <c r="B1" t="s">
        <v>371</v>
      </c>
    </row>
    <row r="2" spans="1:2" x14ac:dyDescent="0.3">
      <c r="A2" t="s">
        <v>374</v>
      </c>
      <c r="B2">
        <v>24</v>
      </c>
    </row>
    <row r="3" spans="1:2" x14ac:dyDescent="0.3">
      <c r="A3" t="s">
        <v>373</v>
      </c>
      <c r="B3">
        <v>61</v>
      </c>
    </row>
    <row r="4" spans="1:2" x14ac:dyDescent="0.3">
      <c r="A4" t="s">
        <v>372</v>
      </c>
      <c r="B4">
        <v>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C3F5-D115-4FFE-890C-B21A6D5A26E5}">
  <dimension ref="A1:D421"/>
  <sheetViews>
    <sheetView workbookViewId="0">
      <selection activeCell="C171" sqref="C171"/>
    </sheetView>
  </sheetViews>
  <sheetFormatPr defaultRowHeight="14.4" x14ac:dyDescent="0.3"/>
  <cols>
    <col min="1" max="1" width="37" style="1" customWidth="1"/>
    <col min="2" max="2" width="14.5546875" style="1" customWidth="1"/>
    <col min="3" max="3" width="9" style="1" customWidth="1"/>
    <col min="4" max="4" width="50" customWidth="1"/>
  </cols>
  <sheetData>
    <row r="1" spans="1:4" x14ac:dyDescent="0.3">
      <c r="A1" s="7" t="s">
        <v>0</v>
      </c>
      <c r="B1" s="9" t="s">
        <v>275</v>
      </c>
      <c r="C1" s="9" t="s">
        <v>288</v>
      </c>
      <c r="D1" s="36" t="s">
        <v>457</v>
      </c>
    </row>
    <row r="2" spans="1:4" x14ac:dyDescent="0.3">
      <c r="A2" s="24" t="s">
        <v>289</v>
      </c>
      <c r="B2" s="18" t="s">
        <v>6</v>
      </c>
      <c r="C2" s="18" t="s">
        <v>12</v>
      </c>
      <c r="D2" s="37" t="s">
        <v>458</v>
      </c>
    </row>
    <row r="3" spans="1:4" x14ac:dyDescent="0.3">
      <c r="A3" s="24" t="s">
        <v>289</v>
      </c>
      <c r="B3" s="18" t="s">
        <v>24</v>
      </c>
      <c r="C3" s="18" t="s">
        <v>12</v>
      </c>
      <c r="D3" s="37" t="s">
        <v>458</v>
      </c>
    </row>
    <row r="4" spans="1:4" x14ac:dyDescent="0.3">
      <c r="A4" s="25" t="s">
        <v>43</v>
      </c>
      <c r="B4" s="26" t="s">
        <v>19</v>
      </c>
      <c r="C4" s="26" t="s">
        <v>12</v>
      </c>
      <c r="D4" s="37" t="s">
        <v>459</v>
      </c>
    </row>
    <row r="5" spans="1:4" x14ac:dyDescent="0.3">
      <c r="A5" s="25" t="s">
        <v>9</v>
      </c>
      <c r="B5" s="26" t="s">
        <v>6</v>
      </c>
      <c r="C5" s="26" t="s">
        <v>7</v>
      </c>
      <c r="D5" s="37" t="s">
        <v>460</v>
      </c>
    </row>
    <row r="6" spans="1:4" x14ac:dyDescent="0.3">
      <c r="A6" s="25" t="s">
        <v>14</v>
      </c>
      <c r="B6" s="26" t="s">
        <v>6</v>
      </c>
      <c r="C6" s="26" t="s">
        <v>12</v>
      </c>
      <c r="D6" s="37" t="s">
        <v>461</v>
      </c>
    </row>
    <row r="7" spans="1:4" x14ac:dyDescent="0.3">
      <c r="A7" s="25" t="s">
        <v>17</v>
      </c>
      <c r="B7" s="26" t="s">
        <v>19</v>
      </c>
      <c r="C7" s="26" t="s">
        <v>12</v>
      </c>
      <c r="D7" s="37" t="s">
        <v>459</v>
      </c>
    </row>
    <row r="8" spans="1:4" x14ac:dyDescent="0.3">
      <c r="A8" s="24" t="s">
        <v>22</v>
      </c>
      <c r="B8" s="18" t="s">
        <v>24</v>
      </c>
      <c r="C8" s="18" t="s">
        <v>7</v>
      </c>
      <c r="D8" s="37" t="s">
        <v>462</v>
      </c>
    </row>
    <row r="9" spans="1:4" x14ac:dyDescent="0.3">
      <c r="A9" s="24" t="s">
        <v>22</v>
      </c>
      <c r="B9" s="18" t="s">
        <v>6</v>
      </c>
      <c r="C9" s="18" t="s">
        <v>7</v>
      </c>
      <c r="D9" s="37" t="s">
        <v>462</v>
      </c>
    </row>
    <row r="10" spans="1:4" x14ac:dyDescent="0.3">
      <c r="A10" s="24" t="s">
        <v>28</v>
      </c>
      <c r="B10" s="18" t="s">
        <v>6</v>
      </c>
      <c r="C10" s="18" t="s">
        <v>12</v>
      </c>
      <c r="D10" s="37" t="s">
        <v>462</v>
      </c>
    </row>
    <row r="11" spans="1:4" x14ac:dyDescent="0.3">
      <c r="A11" s="24" t="s">
        <v>28</v>
      </c>
      <c r="B11" s="18" t="s">
        <v>24</v>
      </c>
      <c r="C11" s="18" t="s">
        <v>7</v>
      </c>
      <c r="D11" s="37" t="s">
        <v>462</v>
      </c>
    </row>
    <row r="12" spans="1:4" x14ac:dyDescent="0.3">
      <c r="A12" s="24" t="s">
        <v>28</v>
      </c>
      <c r="B12" s="18" t="s">
        <v>19</v>
      </c>
      <c r="C12" s="18" t="s">
        <v>7</v>
      </c>
      <c r="D12" s="37" t="s">
        <v>462</v>
      </c>
    </row>
    <row r="13" spans="1:4" x14ac:dyDescent="0.3">
      <c r="A13" s="25" t="s">
        <v>31</v>
      </c>
      <c r="B13" s="26" t="s">
        <v>19</v>
      </c>
      <c r="C13" s="26" t="s">
        <v>12</v>
      </c>
      <c r="D13" s="37" t="s">
        <v>459</v>
      </c>
    </row>
    <row r="14" spans="1:4" x14ac:dyDescent="0.3">
      <c r="A14" s="24" t="s">
        <v>34</v>
      </c>
      <c r="B14" s="18" t="s">
        <v>35</v>
      </c>
      <c r="C14" s="18" t="s">
        <v>12</v>
      </c>
      <c r="D14" s="37" t="s">
        <v>460</v>
      </c>
    </row>
    <row r="15" spans="1:4" x14ac:dyDescent="0.3">
      <c r="A15" s="24" t="s">
        <v>37</v>
      </c>
      <c r="B15" s="18" t="s">
        <v>6</v>
      </c>
      <c r="C15" s="18" t="s">
        <v>12</v>
      </c>
      <c r="D15" s="37" t="s">
        <v>460</v>
      </c>
    </row>
    <row r="16" spans="1:4" x14ac:dyDescent="0.3">
      <c r="A16" s="24" t="s">
        <v>153</v>
      </c>
      <c r="B16" s="18" t="s">
        <v>6</v>
      </c>
      <c r="C16" s="18" t="s">
        <v>12</v>
      </c>
      <c r="D16" s="37" t="s">
        <v>459</v>
      </c>
    </row>
    <row r="17" spans="1:4" x14ac:dyDescent="0.3">
      <c r="A17" s="24" t="s">
        <v>39</v>
      </c>
      <c r="B17" s="18" t="s">
        <v>6</v>
      </c>
      <c r="C17" s="18" t="s">
        <v>7</v>
      </c>
      <c r="D17" s="37" t="s">
        <v>463</v>
      </c>
    </row>
    <row r="18" spans="1:4" x14ac:dyDescent="0.3">
      <c r="A18" s="25" t="s">
        <v>41</v>
      </c>
      <c r="B18" s="26" t="s">
        <v>24</v>
      </c>
      <c r="C18" s="26" t="s">
        <v>7</v>
      </c>
      <c r="D18" s="37" t="s">
        <v>459</v>
      </c>
    </row>
    <row r="19" spans="1:4" x14ac:dyDescent="0.3">
      <c r="A19" s="25" t="s">
        <v>45</v>
      </c>
      <c r="B19" s="26" t="s">
        <v>24</v>
      </c>
      <c r="C19" s="26" t="s">
        <v>12</v>
      </c>
      <c r="D19" s="37" t="s">
        <v>463</v>
      </c>
    </row>
    <row r="20" spans="1:4" x14ac:dyDescent="0.3">
      <c r="A20" s="30" t="s">
        <v>46</v>
      </c>
      <c r="B20" s="18" t="s">
        <v>6</v>
      </c>
      <c r="C20" s="18" t="s">
        <v>12</v>
      </c>
      <c r="D20" s="37" t="s">
        <v>459</v>
      </c>
    </row>
    <row r="21" spans="1:4" x14ac:dyDescent="0.3">
      <c r="A21" s="25" t="s">
        <v>301</v>
      </c>
      <c r="B21" s="26" t="s">
        <v>24</v>
      </c>
      <c r="C21" s="26" t="s">
        <v>12</v>
      </c>
      <c r="D21" s="37" t="s">
        <v>460</v>
      </c>
    </row>
    <row r="22" spans="1:4" x14ac:dyDescent="0.3">
      <c r="A22" s="24" t="s">
        <v>49</v>
      </c>
      <c r="B22" s="18" t="s">
        <v>6</v>
      </c>
      <c r="C22" s="18" t="s">
        <v>12</v>
      </c>
      <c r="D22" s="37" t="s">
        <v>459</v>
      </c>
    </row>
    <row r="23" spans="1:4" x14ac:dyDescent="0.3">
      <c r="A23" s="24" t="s">
        <v>50</v>
      </c>
      <c r="B23" s="18" t="s">
        <v>6</v>
      </c>
      <c r="C23" s="18" t="s">
        <v>7</v>
      </c>
      <c r="D23" s="37" t="s">
        <v>463</v>
      </c>
    </row>
    <row r="24" spans="1:4" x14ac:dyDescent="0.3">
      <c r="A24" s="25" t="s">
        <v>51</v>
      </c>
      <c r="B24" s="26" t="s">
        <v>24</v>
      </c>
      <c r="C24" s="26" t="s">
        <v>7</v>
      </c>
      <c r="D24" s="37" t="s">
        <v>459</v>
      </c>
    </row>
    <row r="25" spans="1:4" x14ac:dyDescent="0.3">
      <c r="A25" s="30" t="s">
        <v>54</v>
      </c>
      <c r="B25" s="31" t="s">
        <v>6</v>
      </c>
      <c r="C25" s="31" t="s">
        <v>7</v>
      </c>
      <c r="D25" s="37" t="s">
        <v>459</v>
      </c>
    </row>
    <row r="26" spans="1:4" x14ac:dyDescent="0.3">
      <c r="A26" s="24" t="s">
        <v>56</v>
      </c>
      <c r="B26" s="18" t="s">
        <v>6</v>
      </c>
      <c r="C26" s="18" t="s">
        <v>12</v>
      </c>
      <c r="D26" s="37" t="s">
        <v>463</v>
      </c>
    </row>
    <row r="27" spans="1:4" x14ac:dyDescent="0.3">
      <c r="A27" s="24" t="s">
        <v>56</v>
      </c>
      <c r="B27" s="18" t="s">
        <v>24</v>
      </c>
      <c r="C27" s="18" t="s">
        <v>12</v>
      </c>
      <c r="D27" s="37" t="s">
        <v>463</v>
      </c>
    </row>
    <row r="28" spans="1:4" x14ac:dyDescent="0.3">
      <c r="A28" s="24" t="s">
        <v>56</v>
      </c>
      <c r="B28" s="18" t="s">
        <v>19</v>
      </c>
      <c r="C28" s="18" t="s">
        <v>12</v>
      </c>
      <c r="D28" s="37" t="s">
        <v>463</v>
      </c>
    </row>
    <row r="29" spans="1:4" x14ac:dyDescent="0.3">
      <c r="A29" s="24" t="s">
        <v>59</v>
      </c>
      <c r="B29" s="18" t="s">
        <v>6</v>
      </c>
      <c r="C29" s="18" t="s">
        <v>7</v>
      </c>
      <c r="D29" s="37" t="s">
        <v>460</v>
      </c>
    </row>
    <row r="30" spans="1:4" x14ac:dyDescent="0.3">
      <c r="A30" s="25" t="s">
        <v>60</v>
      </c>
      <c r="B30" s="26" t="s">
        <v>24</v>
      </c>
      <c r="C30" s="26" t="s">
        <v>7</v>
      </c>
      <c r="D30" s="37" t="s">
        <v>459</v>
      </c>
    </row>
    <row r="31" spans="1:4" x14ac:dyDescent="0.3">
      <c r="A31" s="24" t="s">
        <v>149</v>
      </c>
      <c r="B31" s="18" t="s">
        <v>6</v>
      </c>
      <c r="C31" s="18" t="s">
        <v>7</v>
      </c>
      <c r="D31" s="37" t="s">
        <v>459</v>
      </c>
    </row>
    <row r="32" spans="1:4" x14ac:dyDescent="0.3">
      <c r="A32" s="25" t="s">
        <v>70</v>
      </c>
      <c r="B32" s="26" t="s">
        <v>24</v>
      </c>
      <c r="C32" s="26" t="s">
        <v>7</v>
      </c>
      <c r="D32" s="37" t="s">
        <v>464</v>
      </c>
    </row>
    <row r="33" spans="1:4" x14ac:dyDescent="0.3">
      <c r="A33" s="24" t="s">
        <v>63</v>
      </c>
      <c r="B33" s="18" t="s">
        <v>6</v>
      </c>
      <c r="C33" s="18" t="s">
        <v>12</v>
      </c>
      <c r="D33" s="37" t="s">
        <v>463</v>
      </c>
    </row>
    <row r="34" spans="1:4" x14ac:dyDescent="0.3">
      <c r="A34" s="19" t="s">
        <v>65</v>
      </c>
      <c r="B34" s="5" t="s">
        <v>6</v>
      </c>
      <c r="C34" s="5" t="s">
        <v>7</v>
      </c>
      <c r="D34" s="37" t="s">
        <v>460</v>
      </c>
    </row>
    <row r="35" spans="1:4" x14ac:dyDescent="0.3">
      <c r="A35" s="20" t="s">
        <v>67</v>
      </c>
      <c r="B35" s="5" t="s">
        <v>6</v>
      </c>
      <c r="C35" s="5" t="s">
        <v>7</v>
      </c>
      <c r="D35" s="37" t="s">
        <v>459</v>
      </c>
    </row>
    <row r="36" spans="1:4" x14ac:dyDescent="0.3">
      <c r="A36" s="25" t="s">
        <v>71</v>
      </c>
      <c r="B36" s="26" t="s">
        <v>6</v>
      </c>
      <c r="C36" s="26" t="s">
        <v>7</v>
      </c>
      <c r="D36" s="37" t="s">
        <v>462</v>
      </c>
    </row>
    <row r="37" spans="1:4" x14ac:dyDescent="0.3">
      <c r="A37" s="25" t="s">
        <v>71</v>
      </c>
      <c r="B37" s="26" t="s">
        <v>35</v>
      </c>
      <c r="C37" s="26" t="s">
        <v>12</v>
      </c>
      <c r="D37" s="37" t="s">
        <v>462</v>
      </c>
    </row>
    <row r="38" spans="1:4" x14ac:dyDescent="0.3">
      <c r="A38" s="25" t="s">
        <v>71</v>
      </c>
      <c r="B38" s="26" t="s">
        <v>24</v>
      </c>
      <c r="C38" s="26" t="s">
        <v>12</v>
      </c>
      <c r="D38" s="37" t="s">
        <v>462</v>
      </c>
    </row>
    <row r="39" spans="1:4" x14ac:dyDescent="0.3">
      <c r="A39" s="25" t="s">
        <v>71</v>
      </c>
      <c r="B39" s="26" t="s">
        <v>19</v>
      </c>
      <c r="C39" s="26" t="s">
        <v>7</v>
      </c>
      <c r="D39" s="37" t="s">
        <v>462</v>
      </c>
    </row>
    <row r="40" spans="1:4" x14ac:dyDescent="0.3">
      <c r="A40" s="19" t="s">
        <v>74</v>
      </c>
      <c r="B40" s="5" t="s">
        <v>6</v>
      </c>
      <c r="C40" s="5" t="s">
        <v>12</v>
      </c>
      <c r="D40" s="37" t="s">
        <v>463</v>
      </c>
    </row>
    <row r="41" spans="1:4" x14ac:dyDescent="0.3">
      <c r="A41" s="25" t="s">
        <v>76</v>
      </c>
      <c r="B41" s="26" t="s">
        <v>6</v>
      </c>
      <c r="C41" s="26" t="s">
        <v>7</v>
      </c>
      <c r="D41" s="37" t="s">
        <v>460</v>
      </c>
    </row>
    <row r="42" spans="1:4" x14ac:dyDescent="0.3">
      <c r="A42" s="25" t="s">
        <v>76</v>
      </c>
      <c r="B42" s="26" t="s">
        <v>24</v>
      </c>
      <c r="C42" s="26" t="s">
        <v>7</v>
      </c>
      <c r="D42" s="37" t="s">
        <v>460</v>
      </c>
    </row>
    <row r="43" spans="1:4" x14ac:dyDescent="0.3">
      <c r="A43" s="25" t="s">
        <v>76</v>
      </c>
      <c r="B43" s="26" t="s">
        <v>19</v>
      </c>
      <c r="C43" s="26" t="s">
        <v>7</v>
      </c>
      <c r="D43" s="37" t="s">
        <v>460</v>
      </c>
    </row>
    <row r="44" spans="1:4" x14ac:dyDescent="0.3">
      <c r="A44" s="19" t="s">
        <v>79</v>
      </c>
      <c r="B44" s="5" t="s">
        <v>6</v>
      </c>
      <c r="C44" s="5" t="s">
        <v>12</v>
      </c>
      <c r="D44" s="37" t="s">
        <v>459</v>
      </c>
    </row>
    <row r="45" spans="1:4" x14ac:dyDescent="0.3">
      <c r="A45" s="19" t="s">
        <v>79</v>
      </c>
      <c r="B45" s="5" t="s">
        <v>19</v>
      </c>
      <c r="C45" s="5" t="s">
        <v>12</v>
      </c>
      <c r="D45" s="37" t="s">
        <v>459</v>
      </c>
    </row>
    <row r="46" spans="1:4" x14ac:dyDescent="0.3">
      <c r="A46" s="19" t="s">
        <v>81</v>
      </c>
      <c r="B46" s="5" t="s">
        <v>6</v>
      </c>
      <c r="C46" s="5" t="s">
        <v>7</v>
      </c>
      <c r="D46" s="37" t="s">
        <v>465</v>
      </c>
    </row>
    <row r="47" spans="1:4" x14ac:dyDescent="0.3">
      <c r="A47" s="19" t="s">
        <v>81</v>
      </c>
      <c r="B47" s="5" t="s">
        <v>19</v>
      </c>
      <c r="C47" s="5" t="s">
        <v>7</v>
      </c>
      <c r="D47" s="37" t="s">
        <v>465</v>
      </c>
    </row>
    <row r="48" spans="1:4" x14ac:dyDescent="0.3">
      <c r="A48" s="25" t="s">
        <v>83</v>
      </c>
      <c r="B48" s="26" t="s">
        <v>19</v>
      </c>
      <c r="C48" s="26" t="s">
        <v>12</v>
      </c>
      <c r="D48" s="37" t="s">
        <v>463</v>
      </c>
    </row>
    <row r="49" spans="1:4" x14ac:dyDescent="0.3">
      <c r="A49" s="25" t="s">
        <v>86</v>
      </c>
      <c r="B49" s="26" t="s">
        <v>19</v>
      </c>
      <c r="C49" s="26" t="s">
        <v>7</v>
      </c>
      <c r="D49" s="37" t="s">
        <v>463</v>
      </c>
    </row>
    <row r="50" spans="1:4" x14ac:dyDescent="0.3">
      <c r="A50" s="19" t="s">
        <v>89</v>
      </c>
      <c r="B50" s="5" t="s">
        <v>24</v>
      </c>
      <c r="C50" s="5" t="s">
        <v>7</v>
      </c>
      <c r="D50" s="37" t="s">
        <v>459</v>
      </c>
    </row>
    <row r="51" spans="1:4" x14ac:dyDescent="0.3">
      <c r="A51" s="19" t="s">
        <v>89</v>
      </c>
      <c r="B51" s="5" t="s">
        <v>19</v>
      </c>
      <c r="C51" s="5" t="s">
        <v>7</v>
      </c>
      <c r="D51" s="37" t="s">
        <v>459</v>
      </c>
    </row>
    <row r="52" spans="1:4" x14ac:dyDescent="0.3">
      <c r="A52" s="19" t="s">
        <v>93</v>
      </c>
      <c r="B52" s="5" t="s">
        <v>6</v>
      </c>
      <c r="C52" s="5" t="s">
        <v>12</v>
      </c>
      <c r="D52" s="37" t="s">
        <v>466</v>
      </c>
    </row>
    <row r="53" spans="1:4" x14ac:dyDescent="0.3">
      <c r="A53" s="19" t="s">
        <v>94</v>
      </c>
      <c r="B53" s="5" t="s">
        <v>6</v>
      </c>
      <c r="C53" s="5" t="s">
        <v>12</v>
      </c>
      <c r="D53" s="37" t="s">
        <v>460</v>
      </c>
    </row>
    <row r="54" spans="1:4" x14ac:dyDescent="0.3">
      <c r="A54" s="19" t="s">
        <v>95</v>
      </c>
      <c r="B54" s="5" t="s">
        <v>6</v>
      </c>
      <c r="C54" s="5" t="s">
        <v>12</v>
      </c>
      <c r="D54" s="37" t="s">
        <v>460</v>
      </c>
    </row>
    <row r="55" spans="1:4" x14ac:dyDescent="0.3">
      <c r="A55" s="19" t="s">
        <v>96</v>
      </c>
      <c r="B55" s="5" t="s">
        <v>6</v>
      </c>
      <c r="C55" s="5" t="s">
        <v>7</v>
      </c>
      <c r="D55" s="37" t="s">
        <v>460</v>
      </c>
    </row>
    <row r="56" spans="1:4" x14ac:dyDescent="0.3">
      <c r="A56" s="19" t="s">
        <v>97</v>
      </c>
      <c r="B56" s="5" t="s">
        <v>19</v>
      </c>
      <c r="C56" s="5" t="s">
        <v>7</v>
      </c>
      <c r="D56" s="37" t="s">
        <v>463</v>
      </c>
    </row>
    <row r="57" spans="1:4" x14ac:dyDescent="0.3">
      <c r="A57" s="19" t="s">
        <v>99</v>
      </c>
      <c r="B57" s="5" t="s">
        <v>24</v>
      </c>
      <c r="C57" s="5" t="s">
        <v>7</v>
      </c>
      <c r="D57" s="37" t="s">
        <v>467</v>
      </c>
    </row>
    <row r="58" spans="1:4" x14ac:dyDescent="0.3">
      <c r="A58" s="19" t="s">
        <v>99</v>
      </c>
      <c r="B58" s="5" t="s">
        <v>19</v>
      </c>
      <c r="C58" s="5" t="s">
        <v>7</v>
      </c>
      <c r="D58" s="37" t="s">
        <v>467</v>
      </c>
    </row>
    <row r="59" spans="1:4" x14ac:dyDescent="0.3">
      <c r="A59" s="19" t="s">
        <v>101</v>
      </c>
      <c r="B59" s="5" t="s">
        <v>19</v>
      </c>
      <c r="C59" s="5" t="s">
        <v>7</v>
      </c>
      <c r="D59" s="37" t="s">
        <v>468</v>
      </c>
    </row>
    <row r="60" spans="1:4" x14ac:dyDescent="0.3">
      <c r="A60" s="19" t="s">
        <v>102</v>
      </c>
      <c r="B60" s="5" t="s">
        <v>19</v>
      </c>
      <c r="C60" s="5" t="s">
        <v>12</v>
      </c>
      <c r="D60" s="37" t="s">
        <v>459</v>
      </c>
    </row>
    <row r="61" spans="1:4" x14ac:dyDescent="0.3">
      <c r="A61" s="19" t="s">
        <v>104</v>
      </c>
      <c r="B61" s="5" t="s">
        <v>6</v>
      </c>
      <c r="C61" s="5" t="s">
        <v>7</v>
      </c>
      <c r="D61" s="37" t="s">
        <v>459</v>
      </c>
    </row>
    <row r="62" spans="1:4" x14ac:dyDescent="0.3">
      <c r="A62" s="19" t="s">
        <v>135</v>
      </c>
      <c r="B62" s="5" t="s">
        <v>6</v>
      </c>
      <c r="C62" s="5" t="s">
        <v>12</v>
      </c>
      <c r="D62" s="37" t="s">
        <v>460</v>
      </c>
    </row>
    <row r="63" spans="1:4" x14ac:dyDescent="0.3">
      <c r="A63" s="19" t="s">
        <v>106</v>
      </c>
      <c r="B63" s="5" t="s">
        <v>6</v>
      </c>
      <c r="C63" s="5" t="s">
        <v>12</v>
      </c>
      <c r="D63" s="37" t="s">
        <v>463</v>
      </c>
    </row>
    <row r="64" spans="1:4" x14ac:dyDescent="0.3">
      <c r="A64" s="19" t="s">
        <v>137</v>
      </c>
      <c r="B64" s="5" t="s">
        <v>6</v>
      </c>
      <c r="C64" s="5" t="s">
        <v>12</v>
      </c>
      <c r="D64" s="37" t="s">
        <v>459</v>
      </c>
    </row>
    <row r="65" spans="1:4" x14ac:dyDescent="0.3">
      <c r="A65" s="19" t="s">
        <v>138</v>
      </c>
      <c r="B65" s="5" t="s">
        <v>6</v>
      </c>
      <c r="C65" s="5" t="s">
        <v>12</v>
      </c>
      <c r="D65" s="37" t="s">
        <v>459</v>
      </c>
    </row>
    <row r="66" spans="1:4" x14ac:dyDescent="0.3">
      <c r="A66" s="19" t="s">
        <v>139</v>
      </c>
      <c r="B66" s="5" t="s">
        <v>6</v>
      </c>
      <c r="C66" s="5" t="s">
        <v>12</v>
      </c>
      <c r="D66" s="37" t="s">
        <v>466</v>
      </c>
    </row>
    <row r="67" spans="1:4" x14ac:dyDescent="0.3">
      <c r="A67" s="19" t="s">
        <v>298</v>
      </c>
      <c r="B67" s="5" t="s">
        <v>19</v>
      </c>
      <c r="C67" s="5" t="s">
        <v>12</v>
      </c>
      <c r="D67" s="37" t="s">
        <v>465</v>
      </c>
    </row>
    <row r="68" spans="1:4" x14ac:dyDescent="0.3">
      <c r="A68" s="19" t="s">
        <v>142</v>
      </c>
      <c r="B68" s="5" t="s">
        <v>19</v>
      </c>
      <c r="C68" s="5" t="s">
        <v>12</v>
      </c>
      <c r="D68" s="37" t="s">
        <v>459</v>
      </c>
    </row>
    <row r="69" spans="1:4" x14ac:dyDescent="0.3">
      <c r="A69" s="19" t="s">
        <v>143</v>
      </c>
      <c r="B69" s="5" t="s">
        <v>19</v>
      </c>
      <c r="C69" s="5" t="s">
        <v>12</v>
      </c>
      <c r="D69" s="37" t="s">
        <v>463</v>
      </c>
    </row>
    <row r="70" spans="1:4" x14ac:dyDescent="0.3">
      <c r="A70" s="19" t="s">
        <v>140</v>
      </c>
      <c r="B70" s="5" t="s">
        <v>6</v>
      </c>
      <c r="C70" s="5" t="s">
        <v>12</v>
      </c>
      <c r="D70" s="37" t="s">
        <v>463</v>
      </c>
    </row>
    <row r="71" spans="1:4" x14ac:dyDescent="0.3">
      <c r="A71" s="19" t="s">
        <v>107</v>
      </c>
      <c r="B71" s="5" t="s">
        <v>6</v>
      </c>
      <c r="C71" s="5" t="s">
        <v>12</v>
      </c>
      <c r="D71" s="37" t="s">
        <v>458</v>
      </c>
    </row>
    <row r="72" spans="1:4" x14ac:dyDescent="0.3">
      <c r="A72" s="19" t="s">
        <v>107</v>
      </c>
      <c r="B72" s="5" t="s">
        <v>35</v>
      </c>
      <c r="C72" s="5" t="s">
        <v>7</v>
      </c>
      <c r="D72" s="37" t="s">
        <v>458</v>
      </c>
    </row>
    <row r="73" spans="1:4" x14ac:dyDescent="0.3">
      <c r="A73" s="19" t="s">
        <v>144</v>
      </c>
      <c r="B73" s="5" t="s">
        <v>6</v>
      </c>
      <c r="C73" s="5" t="s">
        <v>12</v>
      </c>
      <c r="D73" s="37" t="s">
        <v>460</v>
      </c>
    </row>
    <row r="74" spans="1:4" x14ac:dyDescent="0.3">
      <c r="A74" s="19" t="s">
        <v>109</v>
      </c>
      <c r="B74" s="5" t="s">
        <v>6</v>
      </c>
      <c r="C74" s="5" t="s">
        <v>12</v>
      </c>
      <c r="D74" s="37" t="s">
        <v>463</v>
      </c>
    </row>
    <row r="75" spans="1:4" x14ac:dyDescent="0.3">
      <c r="A75" s="19" t="s">
        <v>111</v>
      </c>
      <c r="B75" s="5" t="s">
        <v>6</v>
      </c>
      <c r="C75" s="5" t="s">
        <v>7</v>
      </c>
      <c r="D75" s="37" t="s">
        <v>463</v>
      </c>
    </row>
    <row r="76" spans="1:4" x14ac:dyDescent="0.3">
      <c r="A76" s="19" t="s">
        <v>114</v>
      </c>
      <c r="B76" s="5" t="s">
        <v>6</v>
      </c>
      <c r="C76" s="5" t="s">
        <v>7</v>
      </c>
      <c r="D76" s="37" t="s">
        <v>463</v>
      </c>
    </row>
    <row r="77" spans="1:4" x14ac:dyDescent="0.3">
      <c r="A77" s="20" t="s">
        <v>114</v>
      </c>
      <c r="B77" s="6" t="s">
        <v>24</v>
      </c>
      <c r="C77" s="6" t="s">
        <v>7</v>
      </c>
      <c r="D77" s="37" t="s">
        <v>463</v>
      </c>
    </row>
    <row r="78" spans="1:4" x14ac:dyDescent="0.3">
      <c r="A78" s="19" t="s">
        <v>146</v>
      </c>
      <c r="B78" s="5" t="s">
        <v>6</v>
      </c>
      <c r="C78" s="5" t="s">
        <v>12</v>
      </c>
      <c r="D78" s="37" t="s">
        <v>463</v>
      </c>
    </row>
    <row r="79" spans="1:4" x14ac:dyDescent="0.3">
      <c r="A79" s="28" t="s">
        <v>147</v>
      </c>
      <c r="B79" s="29" t="s">
        <v>6</v>
      </c>
      <c r="C79" s="29" t="s">
        <v>7</v>
      </c>
      <c r="D79" s="37" t="s">
        <v>463</v>
      </c>
    </row>
    <row r="80" spans="1:4" x14ac:dyDescent="0.3">
      <c r="A80" s="19" t="s">
        <v>148</v>
      </c>
      <c r="B80" s="5" t="s">
        <v>6</v>
      </c>
      <c r="C80" s="5" t="s">
        <v>12</v>
      </c>
      <c r="D80" s="37" t="s">
        <v>460</v>
      </c>
    </row>
    <row r="81" spans="1:4" x14ac:dyDescent="0.3">
      <c r="A81" s="28" t="s">
        <v>294</v>
      </c>
      <c r="B81" s="29" t="s">
        <v>6</v>
      </c>
      <c r="C81" s="29" t="s">
        <v>12</v>
      </c>
      <c r="D81" s="37" t="s">
        <v>466</v>
      </c>
    </row>
    <row r="82" spans="1:4" x14ac:dyDescent="0.3">
      <c r="A82" s="19" t="s">
        <v>117</v>
      </c>
      <c r="B82" s="5" t="s">
        <v>19</v>
      </c>
      <c r="C82" s="5" t="s">
        <v>12</v>
      </c>
      <c r="D82" s="37" t="s">
        <v>460</v>
      </c>
    </row>
    <row r="83" spans="1:4" x14ac:dyDescent="0.3">
      <c r="A83" s="19" t="s">
        <v>118</v>
      </c>
      <c r="B83" s="5" t="s">
        <v>24</v>
      </c>
      <c r="C83" s="5" t="s">
        <v>7</v>
      </c>
      <c r="D83" s="37" t="s">
        <v>460</v>
      </c>
    </row>
    <row r="84" spans="1:4" x14ac:dyDescent="0.3">
      <c r="A84" s="19" t="s">
        <v>118</v>
      </c>
      <c r="B84" s="5" t="s">
        <v>19</v>
      </c>
      <c r="C84" s="5" t="s">
        <v>7</v>
      </c>
      <c r="D84" s="37" t="s">
        <v>460</v>
      </c>
    </row>
    <row r="85" spans="1:4" x14ac:dyDescent="0.3">
      <c r="A85" s="19" t="s">
        <v>119</v>
      </c>
      <c r="B85" s="5" t="s">
        <v>24</v>
      </c>
      <c r="C85" s="5" t="s">
        <v>7</v>
      </c>
      <c r="D85" s="37" t="s">
        <v>463</v>
      </c>
    </row>
    <row r="86" spans="1:4" x14ac:dyDescent="0.3">
      <c r="A86" s="19" t="s">
        <v>119</v>
      </c>
      <c r="B86" s="5" t="s">
        <v>19</v>
      </c>
      <c r="C86" s="5" t="s">
        <v>7</v>
      </c>
      <c r="D86" s="37" t="s">
        <v>463</v>
      </c>
    </row>
    <row r="87" spans="1:4" x14ac:dyDescent="0.3">
      <c r="A87" s="19" t="s">
        <v>120</v>
      </c>
      <c r="B87" s="5" t="s">
        <v>24</v>
      </c>
      <c r="C87" s="5" t="s">
        <v>12</v>
      </c>
      <c r="D87" s="37" t="s">
        <v>460</v>
      </c>
    </row>
    <row r="88" spans="1:4" x14ac:dyDescent="0.3">
      <c r="A88" s="19" t="s">
        <v>122</v>
      </c>
      <c r="B88" s="5" t="s">
        <v>24</v>
      </c>
      <c r="C88" s="5" t="s">
        <v>7</v>
      </c>
      <c r="D88" s="37" t="s">
        <v>460</v>
      </c>
    </row>
    <row r="89" spans="1:4" x14ac:dyDescent="0.3">
      <c r="A89" s="19" t="s">
        <v>123</v>
      </c>
      <c r="B89" s="5" t="s">
        <v>19</v>
      </c>
      <c r="C89" s="5" t="s">
        <v>12</v>
      </c>
      <c r="D89" s="37" t="s">
        <v>460</v>
      </c>
    </row>
    <row r="90" spans="1:4" x14ac:dyDescent="0.3">
      <c r="A90" s="19" t="s">
        <v>124</v>
      </c>
      <c r="B90" s="5" t="s">
        <v>19</v>
      </c>
      <c r="C90" s="5" t="s">
        <v>7</v>
      </c>
      <c r="D90" s="37" t="s">
        <v>463</v>
      </c>
    </row>
    <row r="91" spans="1:4" x14ac:dyDescent="0.3">
      <c r="A91" s="20" t="s">
        <v>126</v>
      </c>
      <c r="B91" s="6" t="s">
        <v>24</v>
      </c>
      <c r="C91" s="6" t="s">
        <v>12</v>
      </c>
      <c r="D91" s="37" t="s">
        <v>458</v>
      </c>
    </row>
    <row r="92" spans="1:4" x14ac:dyDescent="0.3">
      <c r="A92" s="19" t="s">
        <v>126</v>
      </c>
      <c r="B92" s="5" t="s">
        <v>19</v>
      </c>
      <c r="C92" s="5" t="s">
        <v>12</v>
      </c>
      <c r="D92" s="37" t="s">
        <v>458</v>
      </c>
    </row>
    <row r="93" spans="1:4" x14ac:dyDescent="0.3">
      <c r="A93" s="19" t="s">
        <v>127</v>
      </c>
      <c r="B93" s="5" t="s">
        <v>35</v>
      </c>
      <c r="C93" s="5" t="s">
        <v>12</v>
      </c>
      <c r="D93" s="37" t="s">
        <v>459</v>
      </c>
    </row>
    <row r="94" spans="1:4" x14ac:dyDescent="0.3">
      <c r="A94" s="19" t="s">
        <v>127</v>
      </c>
      <c r="B94" s="5" t="s">
        <v>24</v>
      </c>
      <c r="C94" s="5" t="s">
        <v>12</v>
      </c>
      <c r="D94" s="37" t="s">
        <v>459</v>
      </c>
    </row>
    <row r="95" spans="1:4" x14ac:dyDescent="0.3">
      <c r="A95" s="19" t="s">
        <v>145</v>
      </c>
      <c r="B95" s="5" t="s">
        <v>35</v>
      </c>
      <c r="C95" s="5" t="s">
        <v>12</v>
      </c>
      <c r="D95" s="37" t="s">
        <v>459</v>
      </c>
    </row>
    <row r="96" spans="1:4" x14ac:dyDescent="0.3">
      <c r="A96" s="19" t="s">
        <v>129</v>
      </c>
      <c r="B96" s="5" t="s">
        <v>24</v>
      </c>
      <c r="C96" s="5" t="s">
        <v>12</v>
      </c>
      <c r="D96" s="37" t="s">
        <v>460</v>
      </c>
    </row>
    <row r="97" spans="1:4" x14ac:dyDescent="0.3">
      <c r="A97" s="25" t="s">
        <v>131</v>
      </c>
      <c r="B97" s="26" t="s">
        <v>35</v>
      </c>
      <c r="C97" s="26" t="s">
        <v>12</v>
      </c>
      <c r="D97" s="37" t="s">
        <v>459</v>
      </c>
    </row>
    <row r="98" spans="1:4" x14ac:dyDescent="0.3">
      <c r="A98" s="19" t="s">
        <v>131</v>
      </c>
      <c r="B98" s="5" t="s">
        <v>24</v>
      </c>
      <c r="C98" s="5" t="s">
        <v>12</v>
      </c>
      <c r="D98" s="37" t="s">
        <v>459</v>
      </c>
    </row>
    <row r="99" spans="1:4" x14ac:dyDescent="0.3">
      <c r="A99" s="19" t="s">
        <v>133</v>
      </c>
      <c r="B99" s="5" t="s">
        <v>6</v>
      </c>
      <c r="C99" s="5" t="s">
        <v>7</v>
      </c>
      <c r="D99" s="37" t="s">
        <v>460</v>
      </c>
    </row>
    <row r="100" spans="1:4" x14ac:dyDescent="0.3">
      <c r="A100" s="19" t="s">
        <v>150</v>
      </c>
      <c r="B100" s="5" t="s">
        <v>6</v>
      </c>
      <c r="C100" s="5" t="s">
        <v>12</v>
      </c>
      <c r="D100" s="37" t="s">
        <v>459</v>
      </c>
    </row>
    <row r="101" spans="1:4" x14ac:dyDescent="0.3">
      <c r="A101" s="19" t="s">
        <v>151</v>
      </c>
      <c r="B101" s="5" t="s">
        <v>6</v>
      </c>
      <c r="C101" s="5" t="s">
        <v>7</v>
      </c>
      <c r="D101" s="37" t="s">
        <v>463</v>
      </c>
    </row>
    <row r="102" spans="1:4" ht="15" thickBot="1" x14ac:dyDescent="0.35">
      <c r="A102" s="21" t="s">
        <v>152</v>
      </c>
      <c r="B102" s="12" t="s">
        <v>6</v>
      </c>
      <c r="C102" s="12" t="s">
        <v>12</v>
      </c>
      <c r="D102" s="37" t="s">
        <v>459</v>
      </c>
    </row>
    <row r="103" spans="1:4" x14ac:dyDescent="0.3">
      <c r="A103" s="22" t="s">
        <v>163</v>
      </c>
      <c r="B103" s="14" t="s">
        <v>19</v>
      </c>
      <c r="C103" s="14" t="s">
        <v>12</v>
      </c>
      <c r="D103" s="37" t="s">
        <v>467</v>
      </c>
    </row>
    <row r="104" spans="1:4" x14ac:dyDescent="0.3">
      <c r="A104" s="5" t="s">
        <v>188</v>
      </c>
      <c r="B104" s="5" t="s">
        <v>6</v>
      </c>
      <c r="C104" s="5" t="s">
        <v>7</v>
      </c>
      <c r="D104" s="37" t="s">
        <v>464</v>
      </c>
    </row>
    <row r="105" spans="1:4" x14ac:dyDescent="0.3">
      <c r="A105" s="5" t="s">
        <v>189</v>
      </c>
      <c r="B105" s="5" t="s">
        <v>6</v>
      </c>
      <c r="C105" s="5" t="s">
        <v>12</v>
      </c>
      <c r="D105" s="37" t="s">
        <v>469</v>
      </c>
    </row>
    <row r="106" spans="1:4" x14ac:dyDescent="0.3">
      <c r="A106" s="5" t="s">
        <v>191</v>
      </c>
      <c r="B106" s="5" t="s">
        <v>6</v>
      </c>
      <c r="C106" s="5" t="s">
        <v>12</v>
      </c>
      <c r="D106" s="37" t="s">
        <v>463</v>
      </c>
    </row>
    <row r="107" spans="1:4" x14ac:dyDescent="0.3">
      <c r="A107" s="5" t="s">
        <v>194</v>
      </c>
      <c r="B107" s="5" t="s">
        <v>19</v>
      </c>
      <c r="C107" s="5" t="s">
        <v>12</v>
      </c>
      <c r="D107" s="37" t="s">
        <v>470</v>
      </c>
    </row>
    <row r="108" spans="1:4" x14ac:dyDescent="0.3">
      <c r="A108" s="5" t="s">
        <v>195</v>
      </c>
      <c r="B108" s="5" t="s">
        <v>24</v>
      </c>
      <c r="C108" s="5" t="s">
        <v>7</v>
      </c>
      <c r="D108" s="37" t="s">
        <v>470</v>
      </c>
    </row>
    <row r="109" spans="1:4" x14ac:dyDescent="0.3">
      <c r="A109" s="5" t="s">
        <v>195</v>
      </c>
      <c r="B109" s="5" t="s">
        <v>19</v>
      </c>
      <c r="C109" s="5" t="s">
        <v>7</v>
      </c>
      <c r="D109" s="37" t="s">
        <v>470</v>
      </c>
    </row>
    <row r="110" spans="1:4" x14ac:dyDescent="0.3">
      <c r="A110" s="5" t="s">
        <v>240</v>
      </c>
      <c r="B110" s="5" t="s">
        <v>35</v>
      </c>
      <c r="C110" s="5" t="s">
        <v>7</v>
      </c>
      <c r="D110" s="37" t="s">
        <v>470</v>
      </c>
    </row>
    <row r="111" spans="1:4" x14ac:dyDescent="0.3">
      <c r="A111" s="5" t="s">
        <v>240</v>
      </c>
      <c r="B111" s="5" t="s">
        <v>6</v>
      </c>
      <c r="C111" s="5" t="s">
        <v>7</v>
      </c>
      <c r="D111" s="37" t="s">
        <v>470</v>
      </c>
    </row>
    <row r="112" spans="1:4" x14ac:dyDescent="0.3">
      <c r="A112" s="5" t="s">
        <v>199</v>
      </c>
      <c r="B112" s="5" t="s">
        <v>19</v>
      </c>
      <c r="C112" s="5" t="s">
        <v>12</v>
      </c>
      <c r="D112" s="37" t="s">
        <v>460</v>
      </c>
    </row>
    <row r="113" spans="1:4" x14ac:dyDescent="0.3">
      <c r="A113" s="5" t="s">
        <v>198</v>
      </c>
      <c r="B113" s="5" t="s">
        <v>19</v>
      </c>
      <c r="C113" s="5" t="s">
        <v>7</v>
      </c>
      <c r="D113" s="37" t="s">
        <v>464</v>
      </c>
    </row>
    <row r="114" spans="1:4" x14ac:dyDescent="0.3">
      <c r="A114" s="5" t="s">
        <v>201</v>
      </c>
      <c r="B114" s="5" t="s">
        <v>19</v>
      </c>
      <c r="C114" s="5" t="s">
        <v>7</v>
      </c>
      <c r="D114" s="37" t="s">
        <v>471</v>
      </c>
    </row>
    <row r="115" spans="1:4" x14ac:dyDescent="0.3">
      <c r="A115" s="5" t="s">
        <v>203</v>
      </c>
      <c r="B115" s="5" t="s">
        <v>6</v>
      </c>
      <c r="C115" s="5" t="s">
        <v>12</v>
      </c>
      <c r="D115" s="37" t="s">
        <v>458</v>
      </c>
    </row>
    <row r="116" spans="1:4" x14ac:dyDescent="0.3">
      <c r="A116" s="5" t="s">
        <v>203</v>
      </c>
      <c r="B116" s="5" t="s">
        <v>35</v>
      </c>
      <c r="C116" s="5" t="s">
        <v>12</v>
      </c>
      <c r="D116" s="37" t="s">
        <v>458</v>
      </c>
    </row>
    <row r="117" spans="1:4" x14ac:dyDescent="0.3">
      <c r="A117" s="5" t="s">
        <v>205</v>
      </c>
      <c r="B117" s="5" t="s">
        <v>19</v>
      </c>
      <c r="C117" s="5" t="s">
        <v>12</v>
      </c>
      <c r="D117" s="37" t="s">
        <v>465</v>
      </c>
    </row>
    <row r="118" spans="1:4" x14ac:dyDescent="0.3">
      <c r="A118" s="5" t="s">
        <v>206</v>
      </c>
      <c r="B118" s="5" t="s">
        <v>19</v>
      </c>
      <c r="C118" s="5" t="s">
        <v>12</v>
      </c>
      <c r="D118" s="37" t="s">
        <v>459</v>
      </c>
    </row>
    <row r="119" spans="1:4" x14ac:dyDescent="0.3">
      <c r="A119" s="18" t="s">
        <v>211</v>
      </c>
      <c r="B119" s="5" t="s">
        <v>35</v>
      </c>
      <c r="C119" s="5" t="s">
        <v>12</v>
      </c>
      <c r="D119" s="37" t="s">
        <v>459</v>
      </c>
    </row>
    <row r="120" spans="1:4" x14ac:dyDescent="0.3">
      <c r="A120" s="18" t="s">
        <v>212</v>
      </c>
      <c r="B120" s="5" t="s">
        <v>6</v>
      </c>
      <c r="C120" s="5" t="s">
        <v>12</v>
      </c>
      <c r="D120" s="37" t="s">
        <v>459</v>
      </c>
    </row>
    <row r="121" spans="1:4" x14ac:dyDescent="0.3">
      <c r="A121" s="5" t="s">
        <v>237</v>
      </c>
      <c r="B121" s="5" t="s">
        <v>6</v>
      </c>
      <c r="C121" s="5" t="s">
        <v>7</v>
      </c>
      <c r="D121" t="s">
        <v>465</v>
      </c>
    </row>
    <row r="122" spans="1:4" x14ac:dyDescent="0.3">
      <c r="A122" s="5" t="s">
        <v>208</v>
      </c>
      <c r="B122" s="5" t="s">
        <v>19</v>
      </c>
      <c r="C122" s="5" t="s">
        <v>7</v>
      </c>
      <c r="D122" t="s">
        <v>472</v>
      </c>
    </row>
    <row r="123" spans="1:4" x14ac:dyDescent="0.3">
      <c r="A123" s="5" t="s">
        <v>213</v>
      </c>
      <c r="B123" s="5" t="s">
        <v>6</v>
      </c>
      <c r="C123" s="5" t="s">
        <v>7</v>
      </c>
      <c r="D123" t="s">
        <v>473</v>
      </c>
    </row>
    <row r="124" spans="1:4" x14ac:dyDescent="0.3">
      <c r="A124" s="5" t="s">
        <v>213</v>
      </c>
      <c r="B124" s="5" t="s">
        <v>35</v>
      </c>
      <c r="C124" s="5" t="s">
        <v>7</v>
      </c>
      <c r="D124" t="s">
        <v>473</v>
      </c>
    </row>
    <row r="125" spans="1:4" x14ac:dyDescent="0.3">
      <c r="A125" s="5" t="s">
        <v>213</v>
      </c>
      <c r="B125" s="5" t="s">
        <v>24</v>
      </c>
      <c r="C125" s="5" t="s">
        <v>12</v>
      </c>
      <c r="D125" t="s">
        <v>473</v>
      </c>
    </row>
    <row r="126" spans="1:4" x14ac:dyDescent="0.3">
      <c r="A126" s="5" t="s">
        <v>213</v>
      </c>
      <c r="B126" s="5" t="s">
        <v>19</v>
      </c>
      <c r="C126" s="5" t="s">
        <v>7</v>
      </c>
      <c r="D126" t="s">
        <v>473</v>
      </c>
    </row>
    <row r="127" spans="1:4" x14ac:dyDescent="0.3">
      <c r="A127" s="5" t="s">
        <v>217</v>
      </c>
      <c r="B127" s="5" t="s">
        <v>6</v>
      </c>
      <c r="C127" s="5" t="s">
        <v>7</v>
      </c>
      <c r="D127" t="s">
        <v>472</v>
      </c>
    </row>
    <row r="128" spans="1:4" x14ac:dyDescent="0.3">
      <c r="A128" s="5" t="s">
        <v>217</v>
      </c>
      <c r="B128" s="5" t="s">
        <v>35</v>
      </c>
      <c r="C128" s="5" t="s">
        <v>12</v>
      </c>
      <c r="D128" t="s">
        <v>472</v>
      </c>
    </row>
    <row r="129" spans="1:4" x14ac:dyDescent="0.3">
      <c r="A129" s="5" t="s">
        <v>217</v>
      </c>
      <c r="B129" s="5" t="s">
        <v>24</v>
      </c>
      <c r="C129" s="5" t="s">
        <v>12</v>
      </c>
      <c r="D129" t="s">
        <v>472</v>
      </c>
    </row>
    <row r="130" spans="1:4" x14ac:dyDescent="0.3">
      <c r="A130" s="5" t="s">
        <v>217</v>
      </c>
      <c r="B130" s="5" t="s">
        <v>19</v>
      </c>
      <c r="C130" s="5" t="s">
        <v>7</v>
      </c>
      <c r="D130" t="s">
        <v>472</v>
      </c>
    </row>
    <row r="131" spans="1:4" x14ac:dyDescent="0.3">
      <c r="A131" s="5" t="s">
        <v>219</v>
      </c>
      <c r="B131" s="5" t="s">
        <v>24</v>
      </c>
      <c r="C131" s="5" t="s">
        <v>7</v>
      </c>
      <c r="D131" t="s">
        <v>460</v>
      </c>
    </row>
    <row r="132" spans="1:4" x14ac:dyDescent="0.3">
      <c r="A132" s="5" t="s">
        <v>219</v>
      </c>
      <c r="B132" s="5" t="s">
        <v>19</v>
      </c>
      <c r="C132" s="5" t="s">
        <v>7</v>
      </c>
      <c r="D132" t="s">
        <v>460</v>
      </c>
    </row>
    <row r="133" spans="1:4" x14ac:dyDescent="0.3">
      <c r="A133" s="5" t="s">
        <v>222</v>
      </c>
      <c r="B133" s="5" t="s">
        <v>19</v>
      </c>
      <c r="C133" s="5" t="s">
        <v>12</v>
      </c>
      <c r="D133" t="s">
        <v>467</v>
      </c>
    </row>
    <row r="134" spans="1:4" x14ac:dyDescent="0.3">
      <c r="A134" s="5" t="s">
        <v>223</v>
      </c>
      <c r="B134" s="5" t="s">
        <v>6</v>
      </c>
      <c r="C134" s="5" t="s">
        <v>7</v>
      </c>
      <c r="D134" t="s">
        <v>472</v>
      </c>
    </row>
    <row r="135" spans="1:4" x14ac:dyDescent="0.3">
      <c r="A135" s="5" t="s">
        <v>224</v>
      </c>
      <c r="B135" s="5" t="s">
        <v>35</v>
      </c>
      <c r="C135" s="5" t="s">
        <v>7</v>
      </c>
      <c r="D135" t="s">
        <v>474</v>
      </c>
    </row>
    <row r="136" spans="1:4" x14ac:dyDescent="0.3">
      <c r="A136" s="5" t="s">
        <v>224</v>
      </c>
      <c r="B136" s="5" t="s">
        <v>24</v>
      </c>
      <c r="C136" s="5" t="s">
        <v>7</v>
      </c>
      <c r="D136" t="s">
        <v>474</v>
      </c>
    </row>
    <row r="137" spans="1:4" x14ac:dyDescent="0.3">
      <c r="A137" s="5" t="s">
        <v>224</v>
      </c>
      <c r="B137" s="5" t="s">
        <v>19</v>
      </c>
      <c r="C137" s="5" t="s">
        <v>7</v>
      </c>
      <c r="D137" t="s">
        <v>474</v>
      </c>
    </row>
    <row r="138" spans="1:4" x14ac:dyDescent="0.3">
      <c r="A138" s="5" t="s">
        <v>225</v>
      </c>
      <c r="B138" s="5" t="s">
        <v>6</v>
      </c>
      <c r="C138" s="5" t="s">
        <v>7</v>
      </c>
      <c r="D138" t="s">
        <v>472</v>
      </c>
    </row>
    <row r="139" spans="1:4" x14ac:dyDescent="0.3">
      <c r="A139" s="5" t="s">
        <v>226</v>
      </c>
      <c r="B139" s="5" t="s">
        <v>24</v>
      </c>
      <c r="C139" s="5" t="s">
        <v>12</v>
      </c>
      <c r="D139" t="s">
        <v>468</v>
      </c>
    </row>
    <row r="140" spans="1:4" x14ac:dyDescent="0.3">
      <c r="A140" s="5" t="s">
        <v>226</v>
      </c>
      <c r="B140" s="5" t="s">
        <v>19</v>
      </c>
      <c r="C140" s="5" t="s">
        <v>12</v>
      </c>
      <c r="D140" t="s">
        <v>468</v>
      </c>
    </row>
    <row r="141" spans="1:4" x14ac:dyDescent="0.3">
      <c r="A141" s="5" t="s">
        <v>227</v>
      </c>
      <c r="B141" s="5" t="s">
        <v>19</v>
      </c>
      <c r="C141" s="5" t="s">
        <v>12</v>
      </c>
      <c r="D141" t="s">
        <v>475</v>
      </c>
    </row>
    <row r="142" spans="1:4" x14ac:dyDescent="0.3">
      <c r="A142" s="5" t="s">
        <v>228</v>
      </c>
      <c r="B142" s="5" t="s">
        <v>24</v>
      </c>
      <c r="C142" s="5" t="s">
        <v>7</v>
      </c>
      <c r="D142" t="s">
        <v>464</v>
      </c>
    </row>
    <row r="143" spans="1:4" x14ac:dyDescent="0.3">
      <c r="A143" s="5" t="s">
        <v>228</v>
      </c>
      <c r="B143" s="5" t="s">
        <v>19</v>
      </c>
      <c r="C143" s="5" t="s">
        <v>7</v>
      </c>
      <c r="D143" t="s">
        <v>464</v>
      </c>
    </row>
    <row r="144" spans="1:4" x14ac:dyDescent="0.3">
      <c r="A144" s="5" t="s">
        <v>229</v>
      </c>
      <c r="B144" s="5" t="s">
        <v>19</v>
      </c>
      <c r="C144" s="5" t="s">
        <v>12</v>
      </c>
      <c r="D144" t="s">
        <v>469</v>
      </c>
    </row>
    <row r="145" spans="1:4" x14ac:dyDescent="0.3">
      <c r="A145" s="5" t="s">
        <v>340</v>
      </c>
      <c r="B145" s="5" t="s">
        <v>6</v>
      </c>
      <c r="C145" s="5" t="s">
        <v>7</v>
      </c>
      <c r="D145" t="s">
        <v>466</v>
      </c>
    </row>
    <row r="146" spans="1:4" x14ac:dyDescent="0.3">
      <c r="A146" s="5" t="s">
        <v>341</v>
      </c>
      <c r="B146" s="5" t="s">
        <v>19</v>
      </c>
      <c r="C146" s="5" t="s">
        <v>7</v>
      </c>
      <c r="D146" t="s">
        <v>466</v>
      </c>
    </row>
    <row r="147" spans="1:4" x14ac:dyDescent="0.3">
      <c r="A147" s="5" t="s">
        <v>231</v>
      </c>
      <c r="B147" s="5" t="s">
        <v>24</v>
      </c>
      <c r="C147" s="5" t="s">
        <v>7</v>
      </c>
      <c r="D147" t="s">
        <v>468</v>
      </c>
    </row>
    <row r="148" spans="1:4" x14ac:dyDescent="0.3">
      <c r="A148" s="5" t="s">
        <v>231</v>
      </c>
      <c r="B148" s="5" t="s">
        <v>19</v>
      </c>
      <c r="C148" s="5" t="s">
        <v>7</v>
      </c>
      <c r="D148" t="s">
        <v>468</v>
      </c>
    </row>
    <row r="149" spans="1:4" x14ac:dyDescent="0.3">
      <c r="A149" s="5" t="s">
        <v>290</v>
      </c>
      <c r="B149" s="5" t="s">
        <v>24</v>
      </c>
      <c r="C149" s="5" t="s">
        <v>12</v>
      </c>
      <c r="D149" t="s">
        <v>460</v>
      </c>
    </row>
    <row r="150" spans="1:4" x14ac:dyDescent="0.3">
      <c r="A150" s="5" t="s">
        <v>290</v>
      </c>
      <c r="B150" s="5" t="s">
        <v>19</v>
      </c>
      <c r="C150" s="5" t="s">
        <v>12</v>
      </c>
      <c r="D150" t="s">
        <v>460</v>
      </c>
    </row>
    <row r="151" spans="1:4" x14ac:dyDescent="0.3">
      <c r="A151" s="5" t="s">
        <v>233</v>
      </c>
      <c r="B151" s="5" t="s">
        <v>6</v>
      </c>
      <c r="C151" s="5" t="s">
        <v>12</v>
      </c>
      <c r="D151" t="s">
        <v>472</v>
      </c>
    </row>
    <row r="152" spans="1:4" x14ac:dyDescent="0.3">
      <c r="A152" s="5" t="s">
        <v>300</v>
      </c>
      <c r="B152" s="5" t="s">
        <v>6</v>
      </c>
      <c r="C152" s="5" t="s">
        <v>12</v>
      </c>
      <c r="D152" t="s">
        <v>472</v>
      </c>
    </row>
    <row r="153" spans="1:4" x14ac:dyDescent="0.3">
      <c r="A153" s="5" t="s">
        <v>300</v>
      </c>
      <c r="B153" s="5" t="s">
        <v>24</v>
      </c>
      <c r="C153" s="5" t="s">
        <v>12</v>
      </c>
      <c r="D153" t="s">
        <v>472</v>
      </c>
    </row>
    <row r="154" spans="1:4" x14ac:dyDescent="0.3">
      <c r="A154" s="5" t="s">
        <v>300</v>
      </c>
      <c r="B154" s="5" t="s">
        <v>19</v>
      </c>
      <c r="C154" s="5" t="s">
        <v>7</v>
      </c>
      <c r="D154" t="s">
        <v>472</v>
      </c>
    </row>
    <row r="155" spans="1:4" x14ac:dyDescent="0.3">
      <c r="A155" s="18" t="s">
        <v>235</v>
      </c>
      <c r="B155" s="5" t="s">
        <v>6</v>
      </c>
      <c r="C155" s="5" t="s">
        <v>7</v>
      </c>
      <c r="D155" t="s">
        <v>467</v>
      </c>
    </row>
    <row r="156" spans="1:4" x14ac:dyDescent="0.3">
      <c r="A156" s="18" t="s">
        <v>235</v>
      </c>
      <c r="B156" s="5" t="s">
        <v>35</v>
      </c>
      <c r="C156" s="5" t="s">
        <v>7</v>
      </c>
      <c r="D156" t="s">
        <v>467</v>
      </c>
    </row>
    <row r="157" spans="1:4" x14ac:dyDescent="0.3">
      <c r="A157" s="5" t="s">
        <v>236</v>
      </c>
      <c r="B157" s="5" t="s">
        <v>19</v>
      </c>
      <c r="C157" s="5" t="s">
        <v>12</v>
      </c>
      <c r="D157" t="s">
        <v>463</v>
      </c>
    </row>
    <row r="158" spans="1:4" x14ac:dyDescent="0.3">
      <c r="A158" s="5" t="s">
        <v>244</v>
      </c>
      <c r="B158" s="5" t="s">
        <v>6</v>
      </c>
      <c r="C158" s="5" t="s">
        <v>12</v>
      </c>
      <c r="D158" t="s">
        <v>463</v>
      </c>
    </row>
    <row r="159" spans="1:4" x14ac:dyDescent="0.3">
      <c r="A159" s="5" t="s">
        <v>244</v>
      </c>
      <c r="B159" s="5" t="s">
        <v>35</v>
      </c>
      <c r="C159" s="5" t="s">
        <v>7</v>
      </c>
      <c r="D159" t="s">
        <v>463</v>
      </c>
    </row>
    <row r="160" spans="1:4" x14ac:dyDescent="0.3">
      <c r="A160" s="5" t="s">
        <v>244</v>
      </c>
      <c r="B160" s="5" t="s">
        <v>24</v>
      </c>
      <c r="C160" s="5" t="s">
        <v>7</v>
      </c>
      <c r="D160" t="s">
        <v>463</v>
      </c>
    </row>
    <row r="161" spans="1:4" x14ac:dyDescent="0.3">
      <c r="A161" s="5" t="s">
        <v>244</v>
      </c>
      <c r="B161" s="5" t="s">
        <v>19</v>
      </c>
      <c r="C161" s="5" t="s">
        <v>7</v>
      </c>
      <c r="D161" t="s">
        <v>463</v>
      </c>
    </row>
    <row r="162" spans="1:4" x14ac:dyDescent="0.3">
      <c r="A162" s="5" t="s">
        <v>250</v>
      </c>
      <c r="B162" s="5" t="s">
        <v>6</v>
      </c>
      <c r="C162" s="5" t="s">
        <v>12</v>
      </c>
      <c r="D162" t="s">
        <v>469</v>
      </c>
    </row>
    <row r="163" spans="1:4" x14ac:dyDescent="0.3">
      <c r="A163" s="5" t="s">
        <v>250</v>
      </c>
      <c r="B163" s="5" t="s">
        <v>24</v>
      </c>
      <c r="C163" s="5" t="s">
        <v>7</v>
      </c>
      <c r="D163" t="s">
        <v>469</v>
      </c>
    </row>
    <row r="164" spans="1:4" x14ac:dyDescent="0.3">
      <c r="A164" s="5" t="s">
        <v>250</v>
      </c>
      <c r="B164" s="5" t="s">
        <v>19</v>
      </c>
      <c r="C164" s="5" t="s">
        <v>12</v>
      </c>
      <c r="D164" t="s">
        <v>469</v>
      </c>
    </row>
    <row r="165" spans="1:4" x14ac:dyDescent="0.3">
      <c r="A165" s="5" t="s">
        <v>263</v>
      </c>
      <c r="B165" s="5" t="s">
        <v>19</v>
      </c>
      <c r="C165" s="5" t="s">
        <v>7</v>
      </c>
      <c r="D165" t="s">
        <v>469</v>
      </c>
    </row>
    <row r="166" spans="1:4" x14ac:dyDescent="0.3">
      <c r="A166" s="5" t="s">
        <v>253</v>
      </c>
      <c r="B166" s="5" t="s">
        <v>24</v>
      </c>
      <c r="C166" s="5" t="s">
        <v>12</v>
      </c>
      <c r="D166" t="s">
        <v>465</v>
      </c>
    </row>
    <row r="167" spans="1:4" x14ac:dyDescent="0.3">
      <c r="A167" s="5" t="s">
        <v>253</v>
      </c>
      <c r="B167" s="5" t="s">
        <v>19</v>
      </c>
      <c r="C167" s="5" t="s">
        <v>7</v>
      </c>
      <c r="D167" t="s">
        <v>465</v>
      </c>
    </row>
    <row r="168" spans="1:4" x14ac:dyDescent="0.3">
      <c r="A168" s="5" t="s">
        <v>256</v>
      </c>
      <c r="B168" s="5" t="s">
        <v>6</v>
      </c>
      <c r="C168" s="5" t="s">
        <v>7</v>
      </c>
      <c r="D168" t="s">
        <v>463</v>
      </c>
    </row>
    <row r="169" spans="1:4" x14ac:dyDescent="0.3">
      <c r="A169" s="5" t="s">
        <v>256</v>
      </c>
      <c r="B169" s="5" t="s">
        <v>35</v>
      </c>
      <c r="C169" s="5" t="s">
        <v>7</v>
      </c>
      <c r="D169" t="s">
        <v>463</v>
      </c>
    </row>
    <row r="170" spans="1:4" x14ac:dyDescent="0.3">
      <c r="A170" s="5" t="s">
        <v>256</v>
      </c>
      <c r="B170" s="5" t="s">
        <v>24</v>
      </c>
      <c r="C170" s="5" t="s">
        <v>12</v>
      </c>
      <c r="D170" t="s">
        <v>463</v>
      </c>
    </row>
    <row r="171" spans="1:4" x14ac:dyDescent="0.3">
      <c r="A171" s="5" t="s">
        <v>256</v>
      </c>
      <c r="B171" s="5" t="s">
        <v>19</v>
      </c>
      <c r="C171" s="5" t="s">
        <v>7</v>
      </c>
      <c r="D171" t="s">
        <v>463</v>
      </c>
    </row>
    <row r="172" spans="1:4" x14ac:dyDescent="0.3">
      <c r="A172" s="5" t="s">
        <v>260</v>
      </c>
      <c r="B172" s="5" t="s">
        <v>6</v>
      </c>
      <c r="C172" s="5" t="s">
        <v>7</v>
      </c>
      <c r="D172" t="s">
        <v>459</v>
      </c>
    </row>
    <row r="173" spans="1:4" x14ac:dyDescent="0.3">
      <c r="A173" s="5" t="s">
        <v>260</v>
      </c>
      <c r="B173" s="5" t="s">
        <v>24</v>
      </c>
      <c r="C173" s="5" t="s">
        <v>7</v>
      </c>
      <c r="D173" t="s">
        <v>459</v>
      </c>
    </row>
    <row r="174" spans="1:4" x14ac:dyDescent="0.3">
      <c r="A174" s="5" t="s">
        <v>260</v>
      </c>
      <c r="B174" s="5" t="s">
        <v>19</v>
      </c>
      <c r="C174" s="5" t="s">
        <v>12</v>
      </c>
      <c r="D174" t="s">
        <v>459</v>
      </c>
    </row>
    <row r="175" spans="1:4" x14ac:dyDescent="0.3">
      <c r="A175" s="5" t="s">
        <v>261</v>
      </c>
      <c r="B175" s="5" t="s">
        <v>19</v>
      </c>
      <c r="C175" s="5" t="s">
        <v>12</v>
      </c>
      <c r="D175" t="s">
        <v>463</v>
      </c>
    </row>
    <row r="176" spans="1:4" x14ac:dyDescent="0.3">
      <c r="A176" s="5" t="s">
        <v>264</v>
      </c>
      <c r="B176" s="5" t="s">
        <v>24</v>
      </c>
      <c r="C176" s="5" t="s">
        <v>7</v>
      </c>
      <c r="D176" t="s">
        <v>465</v>
      </c>
    </row>
    <row r="177" spans="1:4" x14ac:dyDescent="0.3">
      <c r="A177" s="5" t="s">
        <v>264</v>
      </c>
      <c r="B177" s="5" t="s">
        <v>19</v>
      </c>
      <c r="C177" s="5" t="s">
        <v>7</v>
      </c>
      <c r="D177" t="s">
        <v>465</v>
      </c>
    </row>
    <row r="178" spans="1:4" x14ac:dyDescent="0.3">
      <c r="A178" s="5" t="s">
        <v>265</v>
      </c>
      <c r="B178" s="5" t="s">
        <v>24</v>
      </c>
      <c r="C178" s="5" t="s">
        <v>12</v>
      </c>
      <c r="D178" t="s">
        <v>463</v>
      </c>
    </row>
    <row r="179" spans="1:4" x14ac:dyDescent="0.3">
      <c r="A179" s="5" t="s">
        <v>267</v>
      </c>
      <c r="B179" s="5" t="s">
        <v>6</v>
      </c>
      <c r="C179" s="5" t="s">
        <v>12</v>
      </c>
      <c r="D179" t="s">
        <v>472</v>
      </c>
    </row>
    <row r="180" spans="1:4" x14ac:dyDescent="0.3">
      <c r="A180" s="5" t="s">
        <v>267</v>
      </c>
      <c r="B180" s="5" t="s">
        <v>19</v>
      </c>
      <c r="C180" s="5" t="s">
        <v>12</v>
      </c>
      <c r="D180" t="s">
        <v>472</v>
      </c>
    </row>
    <row r="181" spans="1:4" x14ac:dyDescent="0.3">
      <c r="A181" s="5" t="s">
        <v>268</v>
      </c>
      <c r="B181" s="5" t="s">
        <v>19</v>
      </c>
      <c r="C181" s="5" t="s">
        <v>12</v>
      </c>
      <c r="D181" t="s">
        <v>476</v>
      </c>
    </row>
    <row r="182" spans="1:4" x14ac:dyDescent="0.3">
      <c r="A182" s="5" t="s">
        <v>269</v>
      </c>
      <c r="B182" s="5" t="s">
        <v>19</v>
      </c>
      <c r="C182" s="5" t="s">
        <v>12</v>
      </c>
      <c r="D182" t="s">
        <v>470</v>
      </c>
    </row>
    <row r="183" spans="1:4" x14ac:dyDescent="0.3">
      <c r="A183" s="5" t="s">
        <v>270</v>
      </c>
      <c r="B183" s="5" t="s">
        <v>19</v>
      </c>
      <c r="C183" s="5" t="s">
        <v>12</v>
      </c>
      <c r="D183" t="s">
        <v>459</v>
      </c>
    </row>
    <row r="184" spans="1:4" x14ac:dyDescent="0.3">
      <c r="A184" s="5" t="s">
        <v>271</v>
      </c>
      <c r="B184" s="5" t="s">
        <v>24</v>
      </c>
      <c r="C184" s="5" t="s">
        <v>7</v>
      </c>
      <c r="D184" t="s">
        <v>464</v>
      </c>
    </row>
    <row r="185" spans="1:4" x14ac:dyDescent="0.3">
      <c r="A185" s="5" t="s">
        <v>271</v>
      </c>
      <c r="B185" s="5" t="s">
        <v>19</v>
      </c>
      <c r="C185" s="5" t="s">
        <v>7</v>
      </c>
      <c r="D185" t="s">
        <v>464</v>
      </c>
    </row>
    <row r="186" spans="1:4" x14ac:dyDescent="0.3">
      <c r="A186" s="13" t="s">
        <v>272</v>
      </c>
      <c r="B186" s="13" t="s">
        <v>6</v>
      </c>
      <c r="C186" s="13" t="s">
        <v>7</v>
      </c>
      <c r="D186" t="s">
        <v>464</v>
      </c>
    </row>
    <row r="187" spans="1:4" x14ac:dyDescent="0.3">
      <c r="A187" s="4"/>
      <c r="B187" s="4"/>
      <c r="C187" s="4"/>
    </row>
    <row r="188" spans="1:4" x14ac:dyDescent="0.3">
      <c r="A188" s="4"/>
      <c r="B188" s="4"/>
      <c r="C188" s="4"/>
    </row>
    <row r="189" spans="1:4" x14ac:dyDescent="0.3">
      <c r="A189" s="4"/>
      <c r="B189" s="4"/>
      <c r="C189" s="4"/>
    </row>
    <row r="190" spans="1:4" x14ac:dyDescent="0.3">
      <c r="A190" s="4" t="s">
        <v>314</v>
      </c>
      <c r="B190" s="4"/>
      <c r="C190" s="4"/>
    </row>
    <row r="191" spans="1:4" x14ac:dyDescent="0.3">
      <c r="A191" s="4" t="s">
        <v>319</v>
      </c>
      <c r="B191" s="4"/>
      <c r="C191" s="4"/>
    </row>
    <row r="192" spans="1:4" x14ac:dyDescent="0.3">
      <c r="A192" s="4"/>
      <c r="B192" s="4"/>
      <c r="C192" s="4"/>
    </row>
    <row r="193" spans="1:3" x14ac:dyDescent="0.3">
      <c r="A193" s="4"/>
      <c r="B193" s="4"/>
      <c r="C193" s="4"/>
    </row>
    <row r="194" spans="1:3" x14ac:dyDescent="0.3">
      <c r="A194" s="15" t="s">
        <v>361</v>
      </c>
      <c r="B194" s="4"/>
      <c r="C194" s="4"/>
    </row>
    <row r="195" spans="1:3" x14ac:dyDescent="0.3">
      <c r="A195" s="16" t="s">
        <v>362</v>
      </c>
      <c r="B195" s="4"/>
      <c r="C195" s="4"/>
    </row>
    <row r="196" spans="1:3" x14ac:dyDescent="0.3">
      <c r="A196" s="17" t="s">
        <v>364</v>
      </c>
      <c r="B196" s="4"/>
      <c r="C196" s="4"/>
    </row>
    <row r="197" spans="1:3" x14ac:dyDescent="0.3">
      <c r="A197" s="4"/>
      <c r="B197" s="4"/>
      <c r="C197" s="4"/>
    </row>
    <row r="198" spans="1:3" x14ac:dyDescent="0.3">
      <c r="A198" s="4"/>
      <c r="B198" s="4"/>
      <c r="C198" s="4"/>
    </row>
    <row r="199" spans="1:3" x14ac:dyDescent="0.3">
      <c r="A199" s="4"/>
      <c r="B199" s="4"/>
      <c r="C199" s="4"/>
    </row>
    <row r="200" spans="1:3" x14ac:dyDescent="0.3">
      <c r="A200" s="4"/>
      <c r="B200" s="4"/>
      <c r="C200" s="4"/>
    </row>
    <row r="201" spans="1:3" x14ac:dyDescent="0.3">
      <c r="A201" s="4"/>
      <c r="B201" s="4"/>
      <c r="C201" s="4"/>
    </row>
    <row r="202" spans="1:3" x14ac:dyDescent="0.3">
      <c r="A202" s="4"/>
      <c r="B202" s="4"/>
      <c r="C202" s="4"/>
    </row>
    <row r="203" spans="1:3" x14ac:dyDescent="0.3">
      <c r="A203" s="4"/>
      <c r="B203" s="4"/>
      <c r="C203" s="4"/>
    </row>
    <row r="204" spans="1:3" x14ac:dyDescent="0.3">
      <c r="A204" s="4"/>
      <c r="B204" s="4"/>
      <c r="C204" s="4"/>
    </row>
    <row r="205" spans="1:3" x14ac:dyDescent="0.3">
      <c r="A205" s="4"/>
      <c r="B205" s="4"/>
      <c r="C205" s="4"/>
    </row>
    <row r="206" spans="1:3" x14ac:dyDescent="0.3">
      <c r="A206"/>
      <c r="B206"/>
      <c r="C206"/>
    </row>
    <row r="207" spans="1:3" x14ac:dyDescent="0.3">
      <c r="A207"/>
      <c r="B207"/>
      <c r="C207"/>
    </row>
    <row r="208" spans="1:3" x14ac:dyDescent="0.3">
      <c r="A208"/>
      <c r="B208"/>
      <c r="C208"/>
    </row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924C-C106-4946-9E00-586373C9EA08}">
  <dimension ref="A3:B22"/>
  <sheetViews>
    <sheetView workbookViewId="0">
      <selection activeCell="F11" sqref="F11"/>
    </sheetView>
  </sheetViews>
  <sheetFormatPr defaultRowHeight="14.4" x14ac:dyDescent="0.3"/>
  <cols>
    <col min="1" max="1" width="17" bestFit="1" customWidth="1"/>
    <col min="2" max="2" width="16.88671875" bestFit="1" customWidth="1"/>
  </cols>
  <sheetData>
    <row r="3" spans="1:2" x14ac:dyDescent="0.3">
      <c r="A3" s="23" t="s">
        <v>457</v>
      </c>
      <c r="B3" t="s">
        <v>371</v>
      </c>
    </row>
    <row r="4" spans="1:2" x14ac:dyDescent="0.3">
      <c r="A4" t="s">
        <v>463</v>
      </c>
      <c r="B4">
        <v>36</v>
      </c>
    </row>
    <row r="5" spans="1:2" x14ac:dyDescent="0.3">
      <c r="A5" t="s">
        <v>461</v>
      </c>
      <c r="B5">
        <v>1</v>
      </c>
    </row>
    <row r="6" spans="1:2" x14ac:dyDescent="0.3">
      <c r="A6" t="s">
        <v>472</v>
      </c>
      <c r="B6">
        <v>13</v>
      </c>
    </row>
    <row r="7" spans="1:2" x14ac:dyDescent="0.3">
      <c r="A7" t="s">
        <v>460</v>
      </c>
      <c r="B7">
        <v>28</v>
      </c>
    </row>
    <row r="8" spans="1:2" x14ac:dyDescent="0.3">
      <c r="A8" t="s">
        <v>464</v>
      </c>
      <c r="B8">
        <v>8</v>
      </c>
    </row>
    <row r="9" spans="1:2" x14ac:dyDescent="0.3">
      <c r="A9" t="s">
        <v>462</v>
      </c>
      <c r="B9">
        <v>9</v>
      </c>
    </row>
    <row r="10" spans="1:2" x14ac:dyDescent="0.3">
      <c r="A10" t="s">
        <v>458</v>
      </c>
      <c r="B10">
        <v>8</v>
      </c>
    </row>
    <row r="11" spans="1:2" x14ac:dyDescent="0.3">
      <c r="A11" t="s">
        <v>467</v>
      </c>
      <c r="B11">
        <v>6</v>
      </c>
    </row>
    <row r="12" spans="1:2" x14ac:dyDescent="0.3">
      <c r="A12" t="s">
        <v>465</v>
      </c>
      <c r="B12">
        <v>9</v>
      </c>
    </row>
    <row r="13" spans="1:2" x14ac:dyDescent="0.3">
      <c r="A13" t="s">
        <v>470</v>
      </c>
      <c r="B13">
        <v>6</v>
      </c>
    </row>
    <row r="14" spans="1:2" x14ac:dyDescent="0.3">
      <c r="A14" t="s">
        <v>466</v>
      </c>
      <c r="B14">
        <v>5</v>
      </c>
    </row>
    <row r="15" spans="1:2" x14ac:dyDescent="0.3">
      <c r="A15" t="s">
        <v>468</v>
      </c>
      <c r="B15">
        <v>5</v>
      </c>
    </row>
    <row r="16" spans="1:2" x14ac:dyDescent="0.3">
      <c r="A16" t="s">
        <v>459</v>
      </c>
      <c r="B16">
        <v>35</v>
      </c>
    </row>
    <row r="17" spans="1:2" x14ac:dyDescent="0.3">
      <c r="A17" t="s">
        <v>469</v>
      </c>
      <c r="B17">
        <v>6</v>
      </c>
    </row>
    <row r="18" spans="1:2" x14ac:dyDescent="0.3">
      <c r="A18" t="s">
        <v>476</v>
      </c>
      <c r="B18">
        <v>1</v>
      </c>
    </row>
    <row r="19" spans="1:2" x14ac:dyDescent="0.3">
      <c r="A19" t="s">
        <v>474</v>
      </c>
      <c r="B19">
        <v>3</v>
      </c>
    </row>
    <row r="20" spans="1:2" x14ac:dyDescent="0.3">
      <c r="A20" t="s">
        <v>475</v>
      </c>
      <c r="B20">
        <v>1</v>
      </c>
    </row>
    <row r="21" spans="1:2" x14ac:dyDescent="0.3">
      <c r="A21" t="s">
        <v>473</v>
      </c>
      <c r="B21">
        <v>4</v>
      </c>
    </row>
    <row r="22" spans="1:2" x14ac:dyDescent="0.3">
      <c r="A22" t="s">
        <v>471</v>
      </c>
      <c r="B22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002D-438D-44F1-84AA-529DF442DFD2}">
  <dimension ref="A1:C21"/>
  <sheetViews>
    <sheetView workbookViewId="0">
      <selection activeCell="J24" sqref="J24"/>
    </sheetView>
  </sheetViews>
  <sheetFormatPr defaultRowHeight="14.4" x14ac:dyDescent="0.3"/>
  <cols>
    <col min="1" max="1" width="17" bestFit="1" customWidth="1"/>
    <col min="2" max="2" width="10.5546875" bestFit="1" customWidth="1"/>
    <col min="3" max="3" width="3.88671875" bestFit="1" customWidth="1"/>
  </cols>
  <sheetData>
    <row r="1" spans="1:3" x14ac:dyDescent="0.3">
      <c r="A1" s="23" t="s">
        <v>371</v>
      </c>
      <c r="B1" s="23" t="s">
        <v>288</v>
      </c>
    </row>
    <row r="2" spans="1:3" x14ac:dyDescent="0.3">
      <c r="A2" s="23" t="s">
        <v>457</v>
      </c>
      <c r="B2" t="s">
        <v>12</v>
      </c>
      <c r="C2" t="s">
        <v>7</v>
      </c>
    </row>
    <row r="3" spans="1:3" x14ac:dyDescent="0.3">
      <c r="A3" t="s">
        <v>463</v>
      </c>
      <c r="B3">
        <v>18</v>
      </c>
      <c r="C3">
        <v>18</v>
      </c>
    </row>
    <row r="4" spans="1:3" x14ac:dyDescent="0.3">
      <c r="A4" t="s">
        <v>461</v>
      </c>
      <c r="B4">
        <v>1</v>
      </c>
    </row>
    <row r="5" spans="1:3" x14ac:dyDescent="0.3">
      <c r="A5" t="s">
        <v>472</v>
      </c>
      <c r="B5">
        <v>7</v>
      </c>
      <c r="C5">
        <v>6</v>
      </c>
    </row>
    <row r="6" spans="1:3" x14ac:dyDescent="0.3">
      <c r="A6" t="s">
        <v>460</v>
      </c>
      <c r="B6">
        <v>15</v>
      </c>
      <c r="C6">
        <v>13</v>
      </c>
    </row>
    <row r="7" spans="1:3" x14ac:dyDescent="0.3">
      <c r="A7" t="s">
        <v>464</v>
      </c>
      <c r="C7">
        <v>8</v>
      </c>
    </row>
    <row r="8" spans="1:3" x14ac:dyDescent="0.3">
      <c r="A8" t="s">
        <v>462</v>
      </c>
      <c r="B8">
        <v>3</v>
      </c>
      <c r="C8">
        <v>6</v>
      </c>
    </row>
    <row r="9" spans="1:3" x14ac:dyDescent="0.3">
      <c r="A9" t="s">
        <v>458</v>
      </c>
      <c r="B9">
        <v>7</v>
      </c>
      <c r="C9">
        <v>1</v>
      </c>
    </row>
    <row r="10" spans="1:3" x14ac:dyDescent="0.3">
      <c r="A10" t="s">
        <v>467</v>
      </c>
      <c r="B10">
        <v>2</v>
      </c>
      <c r="C10">
        <v>4</v>
      </c>
    </row>
    <row r="11" spans="1:3" x14ac:dyDescent="0.3">
      <c r="A11" t="s">
        <v>465</v>
      </c>
      <c r="B11">
        <v>3</v>
      </c>
      <c r="C11">
        <v>6</v>
      </c>
    </row>
    <row r="12" spans="1:3" x14ac:dyDescent="0.3">
      <c r="A12" t="s">
        <v>470</v>
      </c>
      <c r="B12">
        <v>2</v>
      </c>
      <c r="C12">
        <v>4</v>
      </c>
    </row>
    <row r="13" spans="1:3" x14ac:dyDescent="0.3">
      <c r="A13" t="s">
        <v>466</v>
      </c>
      <c r="B13">
        <v>3</v>
      </c>
      <c r="C13">
        <v>2</v>
      </c>
    </row>
    <row r="14" spans="1:3" x14ac:dyDescent="0.3">
      <c r="A14" t="s">
        <v>468</v>
      </c>
      <c r="B14">
        <v>2</v>
      </c>
      <c r="C14">
        <v>3</v>
      </c>
    </row>
    <row r="15" spans="1:3" x14ac:dyDescent="0.3">
      <c r="A15" t="s">
        <v>459</v>
      </c>
      <c r="B15">
        <v>24</v>
      </c>
      <c r="C15">
        <v>11</v>
      </c>
    </row>
    <row r="16" spans="1:3" x14ac:dyDescent="0.3">
      <c r="A16" t="s">
        <v>469</v>
      </c>
      <c r="B16">
        <v>4</v>
      </c>
      <c r="C16">
        <v>2</v>
      </c>
    </row>
    <row r="17" spans="1:3" x14ac:dyDescent="0.3">
      <c r="A17" t="s">
        <v>476</v>
      </c>
      <c r="B17">
        <v>1</v>
      </c>
    </row>
    <row r="18" spans="1:3" x14ac:dyDescent="0.3">
      <c r="A18" t="s">
        <v>474</v>
      </c>
      <c r="C18">
        <v>3</v>
      </c>
    </row>
    <row r="19" spans="1:3" x14ac:dyDescent="0.3">
      <c r="A19" t="s">
        <v>475</v>
      </c>
      <c r="B19">
        <v>1</v>
      </c>
    </row>
    <row r="20" spans="1:3" x14ac:dyDescent="0.3">
      <c r="A20" t="s">
        <v>473</v>
      </c>
      <c r="B20">
        <v>1</v>
      </c>
      <c r="C20">
        <v>3</v>
      </c>
    </row>
    <row r="21" spans="1:3" x14ac:dyDescent="0.3">
      <c r="A21" t="s">
        <v>471</v>
      </c>
      <c r="C21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tabela_geral</vt:lpstr>
      <vt:lpstr>Lista das C.Ambientais</vt:lpstr>
      <vt:lpstr>Grafico_datacao</vt:lpstr>
      <vt:lpstr>Nº_Ocupacoes</vt:lpstr>
      <vt:lpstr>Tipo_Sitio</vt:lpstr>
      <vt:lpstr>altitude_cronologia</vt:lpstr>
      <vt:lpstr>Contagem_sitios_alt</vt:lpstr>
      <vt:lpstr>dataçao_altitude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DANIELA FILIPA SILVA MAIO</cp:lastModifiedBy>
  <dcterms:created xsi:type="dcterms:W3CDTF">2021-11-22T21:32:22Z</dcterms:created>
  <dcterms:modified xsi:type="dcterms:W3CDTF">2026-02-05T15:30:41Z</dcterms:modified>
</cp:coreProperties>
</file>